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imulador PMM" state="visible" r:id="rId4"/>
    <sheet sheetId="2" name="Instrucciones" state="visible" r:id="rId5"/>
  </sheets>
  <calcPr calcId="171027"/>
</workbook>
</file>

<file path=xl/sharedStrings.xml><?xml version="1.0" encoding="utf-8"?>
<sst xmlns="http://schemas.openxmlformats.org/spreadsheetml/2006/main" count="101" uniqueCount="61">
  <si>
    <t>SIMULADOR PÓLIZA MULTIPRODUCTO MULTIEMPRESA (PMM)</t>
  </si>
  <si>
    <t>LÍMITE GLOBAL PMM:</t>
  </si>
  <si>
    <t>MATRIZ DE DISPOSICIONES POR EMPRESA Y PRODUCTO</t>
  </si>
  <si>
    <t>Tipo de Producto</t>
  </si>
  <si>
    <t>Sublímite</t>
  </si>
  <si>
    <t>Empresa 1</t>
  </si>
  <si>
    <t>Empresa 2</t>
  </si>
  <si>
    <t>Empresa 3</t>
  </si>
  <si>
    <t>Empresa 4</t>
  </si>
  <si>
    <t>Total Dispuesto</t>
  </si>
  <si>
    <t>Disponible</t>
  </si>
  <si>
    <t>% Utilización</t>
  </si>
  <si>
    <t>Créditos</t>
  </si>
  <si>
    <t>Descuento Comercial</t>
  </si>
  <si>
    <t>Confirming</t>
  </si>
  <si>
    <t>Comex</t>
  </si>
  <si>
    <t>Préstamos</t>
  </si>
  <si>
    <t>TOTAL PMM</t>
  </si>
  <si>
    <t>INDICADORES GLOBALES</t>
  </si>
  <si>
    <t>Indicador</t>
  </si>
  <si>
    <t>Importe</t>
  </si>
  <si>
    <t>% sobre Límite</t>
  </si>
  <si>
    <t>Estado</t>
  </si>
  <si>
    <t/>
  </si>
  <si>
    <t>Límite Global PMM</t>
  </si>
  <si>
    <t>—</t>
  </si>
  <si>
    <t>Disponible Global</t>
  </si>
  <si>
    <t>INDICADORES POR PRODUCTO</t>
  </si>
  <si>
    <t>Producto</t>
  </si>
  <si>
    <t>Dispuesto</t>
  </si>
  <si>
    <t>% Sublímite</t>
  </si>
  <si>
    <t>% Global</t>
  </si>
  <si>
    <t>Estado Sublímite</t>
  </si>
  <si>
    <t>Estado Global</t>
  </si>
  <si>
    <t>Margen Global</t>
  </si>
  <si>
    <t>INSTRUCCIONES DE USO - SIMULADOR PMM</t>
  </si>
  <si>
    <t>1. LÍMITE GLOBAL</t>
  </si>
  <si>
    <t>Celda C3 en hoja "Simulador PMM"</t>
  </si>
  <si>
    <t xml:space="preserve">   Modifique el valor del límite global de la póliza paraguas.</t>
  </si>
  <si>
    <t>2. SUBLÍMITES POR PRODUCTO</t>
  </si>
  <si>
    <t>Columna B, filas 7-11</t>
  </si>
  <si>
    <t xml:space="preserve">   Modifique los sublímites de cada tipo de producto.</t>
  </si>
  <si>
    <t xml:space="preserve">   Los sublímites pueden superar el límite global (son techos por producto).</t>
  </si>
  <si>
    <t>3. DISPOSICIONES POR EMPRESA</t>
  </si>
  <si>
    <t>Columnas C-F, filas 7-11 (celdas amarillas)</t>
  </si>
  <si>
    <t xml:space="preserve">   Introduzca los importes dispuestos por cada empresa en cada producto.</t>
  </si>
  <si>
    <t xml:space="preserve">   Las celdas amarillas son editables. No se permiten valores negativos.</t>
  </si>
  <si>
    <t>4. INDICADORES AUTOMÁTICOS</t>
  </si>
  <si>
    <t xml:space="preserve">   - Total Dispuesto: suma de disposiciones por producto y empresa.</t>
  </si>
  <si>
    <t xml:space="preserve">   - Disponible: MIN(sublímite - dispuesto, límite global - total global).</t>
  </si>
  <si>
    <t xml:space="preserve">   - % Utilización: porcentaje del sublímite consumido.</t>
  </si>
  <si>
    <t xml:space="preserve">   - El disponible nunca permite superar el límite global.</t>
  </si>
  <si>
    <t>5. ALERTAS</t>
  </si>
  <si>
    <t xml:space="preserve">   - Rojo: sublímite o límite global excedido / disponible negativo.</t>
  </si>
  <si>
    <t xml:space="preserve">   - Ámbar: utilización &gt; 80%.</t>
  </si>
  <si>
    <t xml:space="preserve">   - ⚠ EXCEDIDO: se ha superado un límite.</t>
  </si>
  <si>
    <t xml:space="preserve">   - ✓ OK: dentro de parámetros.</t>
  </si>
  <si>
    <t>6. REGLA CLAVE</t>
  </si>
  <si>
    <t xml:space="preserve">   El límite global NO puede superarse en ningún momento.</t>
  </si>
  <si>
    <t xml:space="preserve">   El disponible por producto se ajusta automáticamente para</t>
  </si>
  <si>
    <t xml:space="preserve">   respetar tanto el sublímite del producto como el límite global.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</si>
</sst>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€"/>
    <numFmt numFmtId="165" formatCode="0.0%"/>
  </numFmts>
  <fonts count="9" x14ac:knownFonts="1">
    <font>
      <color theme="1"/>
      <family val="2"/>
      <scheme val="minor"/>
      <sz val="11"/>
      <name val="Calibri"/>
    </font>
    <font>
      <b/>
      <color rgb="FFFFFF"/>
      <sz val="14"/>
      <name val="Calibri"/>
    </font>
    <font>
      <b/>
      <color rgb="004D40"/>
      <sz val="11"/>
      <name val="Calibri"/>
    </font>
    <font>
      <b/>
      <color rgb="00838F"/>
      <sz val="14"/>
      <name val="Calibri"/>
    </font>
    <font>
      <b/>
      <color rgb="FFFFFF"/>
      <sz val="11"/>
      <name val="Calibri"/>
    </font>
    <font>
      <b/>
      <color rgb="FFFFFF"/>
      <sz val="10"/>
      <name val="Calibri"/>
    </font>
    <font>
      <b/>
      <color rgb="000000"/>
      <sz val="10"/>
      <name val="Calibri"/>
    </font>
    <font>
      <color rgb="000000"/>
      <sz val="10"/>
      <name val="Calibri"/>
    </font>
    <font>
      <b/>
      <color rgb="004D40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00838F"/>
      </patternFill>
    </fill>
    <fill>
      <patternFill patternType="solid">
        <fgColor rgb="E0F7FA"/>
      </patternFill>
    </fill>
    <fill>
      <patternFill patternType="solid">
        <fgColor rgb="004D40"/>
      </patternFill>
    </fill>
    <fill>
      <patternFill patternType="solid">
        <fgColor rgb="ECEFF1"/>
      </patternFill>
    </fill>
    <fill>
      <patternFill patternType="solid">
        <fgColor rgb="FFF8E1"/>
      </patternFill>
    </fill>
    <fill>
      <patternFill patternType="solid">
        <fgColor rgb="B2DFDB"/>
      </patternFill>
    </fill>
    <fill>
      <patternFill patternType="solid">
        <fgColor rgb="C8E6C9"/>
      </patternFill>
    </fill>
    <fill>
      <patternFill patternType="solid">
        <fgColor rgb="FFFFFF"/>
      </patternFill>
    </fill>
  </fills>
  <borders count="2">
    <border>
      <left/>
      <right/>
      <top/>
      <bottom/>
      <diagonal/>
    </border>
    <border>
      <left style="thin">
        <color rgb="B2DFDB"/>
      </left>
      <right style="thin">
        <color rgb="B2DFDB"/>
      </right>
      <top style="thin">
        <color rgb="B2DFDB"/>
      </top>
      <bottom style="thin">
        <color rgb="B2DFD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164" fontId="3" fillId="3" borderId="1" xfId="0" applyNumberFormat="1" applyFont="1" applyFill="1" applyBorder="1" applyAlignment="1" applyProtection="1">
      <alignment horizontal="center" vertical="center"/>
      <protection locked="0"/>
    </xf>
    <xf numFmtId="0" fontId="4" fillId="4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164" fontId="6" fillId="3" borderId="1" xfId="0" applyNumberFormat="1" applyFont="1" applyFill="1" applyBorder="1" applyAlignment="1" applyProtection="1">
      <alignment horizontal="center" vertical="center"/>
      <protection locked="0"/>
    </xf>
    <xf numFmtId="164" fontId="7" fillId="6" borderId="1" xfId="0" applyNumberFormat="1" applyFont="1" applyFill="1" applyBorder="1" applyAlignment="1" applyProtection="1">
      <alignment horizontal="center" vertical="center"/>
      <protection locked="0"/>
    </xf>
    <xf numFmtId="164" fontId="6" fillId="7" borderId="1" xfId="0" applyNumberFormat="1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165" fontId="6" fillId="5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165" fontId="6" fillId="9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5" fontId="6" fillId="8" borderId="1" xfId="0" applyNumberFormat="1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65" fontId="7" fillId="5" borderId="1" xfId="0" applyNumberFormat="1" applyFont="1" applyFill="1" applyBorder="1" applyAlignment="1">
      <alignment horizontal="center" vertical="center"/>
    </xf>
    <xf numFmtId="164" fontId="7" fillId="9" borderId="1" xfId="0" applyNumberFormat="1" applyFont="1" applyFill="1" applyBorder="1" applyAlignment="1">
      <alignment horizontal="center" vertical="center"/>
    </xf>
    <xf numFmtId="165" fontId="7" fillId="9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8" fillId="0" borderId="0" xfId="0" applyFont="1"/>
  </cellXfs>
  <cellStyles count="1">
    <cellStyle name="Normal" xfId="0" builtinId="0"/>
  </cellStyles>
  <dxfs count="4">
    <dxf>
      <font>
        <b/>
        <color rgb="F44336"/>
      </font>
      <fill>
        <patternFill patternType="solid">
          <fgColor rgb="FFCDD2"/>
        </patternFill>
      </fill>
    </dxf>
    <dxf>
      <font>
        <b/>
        <color rgb="F44336"/>
      </font>
      <fill>
        <patternFill patternType="solid">
          <fgColor rgb="FFCDD2"/>
        </patternFill>
      </fill>
    </dxf>
    <dxf>
      <font>
        <b/>
        <color rgb="F44336"/>
      </font>
      <fill>
        <patternFill patternType="solid">
          <fgColor rgb="FFCDD2"/>
        </patternFill>
      </fill>
    </dxf>
    <dxf>
      <font>
        <b/>
        <color rgb="E65100"/>
      </font>
      <fill>
        <patternFill patternType="solid">
          <fgColor rgb="FFF3E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38F"/>
    <pageSetUpPr fitToPage="1"/>
  </sheetPr>
  <dimension ref="A1:I26"/>
  <sheetViews>
    <sheetView workbookViewId="0" showGridLines="0"/>
  </sheetViews>
  <sheetFormatPr defaultRowHeight="15" outlineLevelRow="0" outlineLevelCol="0" x14ac:dyDescent="55"/>
  <cols>
    <col min="1" max="1" width="24" customWidth="1"/>
    <col min="2" max="2" width="20" customWidth="1"/>
    <col min="3" max="6" width="18" customWidth="1"/>
    <col min="7" max="8" width="20" customWidth="1"/>
    <col min="9" max="9" width="14" customWidth="1"/>
  </cols>
  <sheetData>
    <row r="1" ht="38" customHeight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3" ht="30" customHeight="1" spans="1:3" x14ac:dyDescent="0.25">
      <c r="A3" s="2" t="s">
        <v>1</v>
      </c>
      <c r="B3" s="2"/>
      <c r="C3" s="3">
        <v>8000000</v>
      </c>
    </row>
    <row r="5" ht="28" customHeight="1" spans="1:9" x14ac:dyDescent="0.25">
      <c r="A5" s="4" t="s">
        <v>2</v>
      </c>
      <c r="B5" s="4"/>
      <c r="C5" s="4"/>
      <c r="D5" s="4"/>
      <c r="E5" s="4"/>
      <c r="F5" s="4"/>
      <c r="G5" s="4"/>
      <c r="H5" s="4"/>
      <c r="I5" s="4"/>
    </row>
    <row r="6" ht="28" customHeight="1" spans="1:9" x14ac:dyDescent="0.25">
      <c r="A6" s="5" t="s">
        <v>3</v>
      </c>
      <c r="B6" s="5" t="s">
        <v>4</v>
      </c>
      <c r="C6" s="5" t="s">
        <v>5</v>
      </c>
      <c r="D6" s="5" t="s">
        <v>6</v>
      </c>
      <c r="E6" s="5" t="s">
        <v>7</v>
      </c>
      <c r="F6" s="5" t="s">
        <v>8</v>
      </c>
      <c r="G6" s="5" t="s">
        <v>9</v>
      </c>
      <c r="H6" s="5" t="s">
        <v>10</v>
      </c>
      <c r="I6" s="5" t="s">
        <v>11</v>
      </c>
    </row>
    <row r="7" ht="24" customHeight="1" spans="1:9" x14ac:dyDescent="0.25">
      <c r="A7" s="6" t="s">
        <v>12</v>
      </c>
      <c r="B7" s="7">
        <v>2000000</v>
      </c>
      <c r="C7" s="8">
        <v>500000</v>
      </c>
      <c r="D7" s="8">
        <v>300000</v>
      </c>
      <c r="E7" s="8">
        <v>200000</v>
      </c>
      <c r="F7" s="8">
        <v>400000</v>
      </c>
      <c r="G7" s="9">
        <f>SUM(C7:F7)</f>
      </c>
      <c r="H7" s="10">
        <f>MIN(B7-G7, MAX(0, $C$3-G$12))</f>
      </c>
      <c r="I7" s="11">
        <f>IF(B7=0,0,G7/B7)</f>
      </c>
    </row>
    <row r="8" ht="24" customHeight="1" spans="1:9" x14ac:dyDescent="0.25">
      <c r="A8" s="12" t="s">
        <v>13</v>
      </c>
      <c r="B8" s="7">
        <v>8000000</v>
      </c>
      <c r="C8" s="8">
        <v>1000000</v>
      </c>
      <c r="D8" s="8">
        <v>500000</v>
      </c>
      <c r="E8" s="8">
        <v>800000</v>
      </c>
      <c r="F8" s="8">
        <v>700000</v>
      </c>
      <c r="G8" s="9">
        <f>SUM(C8:F8)</f>
      </c>
      <c r="H8" s="10">
        <f>MIN(B8-G8, MAX(0, $C$3-G$12))</f>
      </c>
      <c r="I8" s="13">
        <f>IF(B8=0,0,G8/B8)</f>
      </c>
    </row>
    <row r="9" ht="24" customHeight="1" spans="1:9" x14ac:dyDescent="0.25">
      <c r="A9" s="6" t="s">
        <v>14</v>
      </c>
      <c r="B9" s="7">
        <v>8000000</v>
      </c>
      <c r="C9" s="8">
        <v>300000</v>
      </c>
      <c r="D9" s="8">
        <v>200000</v>
      </c>
      <c r="E9" s="8">
        <v>400000</v>
      </c>
      <c r="F9" s="8">
        <v>100000</v>
      </c>
      <c r="G9" s="9">
        <f>SUM(C9:F9)</f>
      </c>
      <c r="H9" s="10">
        <f>MIN(B9-G9, MAX(0, $C$3-G$12))</f>
      </c>
      <c r="I9" s="11">
        <f>IF(B9=0,0,G9/B9)</f>
      </c>
    </row>
    <row r="10" ht="24" customHeight="1" spans="1:9" x14ac:dyDescent="0.25">
      <c r="A10" s="12" t="s">
        <v>15</v>
      </c>
      <c r="B10" s="7">
        <v>8000000</v>
      </c>
      <c r="C10" s="8">
        <v>0</v>
      </c>
      <c r="D10" s="8">
        <v>100000</v>
      </c>
      <c r="E10" s="8">
        <v>200000</v>
      </c>
      <c r="F10" s="8">
        <v>0</v>
      </c>
      <c r="G10" s="9">
        <f>SUM(C10:F10)</f>
      </c>
      <c r="H10" s="10">
        <f>MIN(B10-G10, MAX(0, $C$3-G$12))</f>
      </c>
      <c r="I10" s="13">
        <f>IF(B10=0,0,G10/B10)</f>
      </c>
    </row>
    <row r="11" ht="24" customHeight="1" spans="1:9" x14ac:dyDescent="0.25">
      <c r="A11" s="6" t="s">
        <v>16</v>
      </c>
      <c r="B11" s="7">
        <v>4000000</v>
      </c>
      <c r="C11" s="8">
        <v>500000</v>
      </c>
      <c r="D11" s="8">
        <v>300000</v>
      </c>
      <c r="E11" s="8">
        <v>400000</v>
      </c>
      <c r="F11" s="8">
        <v>300000</v>
      </c>
      <c r="G11" s="9">
        <f>SUM(C11:F11)</f>
      </c>
      <c r="H11" s="10">
        <f>MIN(B11-G11, MAX(0, $C$3-G$12))</f>
      </c>
      <c r="I11" s="11">
        <f>IF(B11=0,0,G11/B11)</f>
      </c>
    </row>
    <row r="12" ht="28" customHeight="1" spans="1:9" x14ac:dyDescent="0.25">
      <c r="A12" s="14" t="s">
        <v>17</v>
      </c>
      <c r="B12" s="15">
        <f>SUM(B7:B11)</f>
      </c>
      <c r="C12" s="15">
        <f>SUM(C7:C11)</f>
      </c>
      <c r="D12" s="15">
        <f>SUM(D7:D11)</f>
      </c>
      <c r="E12" s="15">
        <f>SUM(E7:E11)</f>
      </c>
      <c r="F12" s="15">
        <f>SUM(F7:F11)</f>
      </c>
      <c r="G12" s="15">
        <f>SUM(G7:G11)</f>
      </c>
      <c r="H12" s="15">
        <f>$C$3-G12</f>
      </c>
      <c r="I12" s="16">
        <f>IF($C$3=0,0,G12/$C$3)</f>
      </c>
    </row>
    <row r="14" ht="28" customHeight="1" spans="1:5" x14ac:dyDescent="0.25">
      <c r="A14" s="4" t="s">
        <v>18</v>
      </c>
      <c r="B14" s="4"/>
      <c r="C14" s="4"/>
      <c r="D14" s="4"/>
      <c r="E14" s="4"/>
    </row>
    <row r="15" spans="1:5" x14ac:dyDescent="0.25">
      <c r="A15" s="5" t="s">
        <v>19</v>
      </c>
      <c r="B15" s="5" t="s">
        <v>20</v>
      </c>
      <c r="C15" s="5" t="s">
        <v>21</v>
      </c>
      <c r="D15" s="5" t="s">
        <v>22</v>
      </c>
      <c r="E15" s="5" t="s">
        <v>23</v>
      </c>
    </row>
    <row r="16" ht="24" customHeight="1" spans="1:4" x14ac:dyDescent="0.25">
      <c r="A16" s="6" t="s">
        <v>24</v>
      </c>
      <c r="B16" s="17">
        <f>$C$3</f>
      </c>
      <c r="C16" s="11">
        <v>1</v>
      </c>
      <c r="D16" s="18" t="s">
        <v>25</v>
      </c>
    </row>
    <row r="17" ht="24" customHeight="1" spans="1:4" x14ac:dyDescent="0.25">
      <c r="A17" s="19" t="s">
        <v>9</v>
      </c>
      <c r="B17" s="20">
        <f>G12</f>
      </c>
      <c r="C17" s="21">
        <f>IF($C$3=0,0,B17/$C$3)</f>
      </c>
      <c r="D17" s="22">
        <f>IF(B17&gt;$C$3,"⚠ EXCEDIDO","✓ OK")</f>
      </c>
    </row>
    <row r="18" ht="24" customHeight="1" spans="1:4" x14ac:dyDescent="0.25">
      <c r="A18" s="23" t="s">
        <v>26</v>
      </c>
      <c r="B18" s="10">
        <f>$C$3-B17</f>
      </c>
      <c r="C18" s="24">
        <f>IF($C$3=0,0,B18/$C$3)</f>
      </c>
      <c r="D18" s="25">
        <f>IF(B18&lt;0,"⚠ SIN DISPONIBLE","✓ DISPONIBLE")</f>
      </c>
    </row>
    <row r="20" ht="28" customHeight="1" spans="1:9" x14ac:dyDescent="0.25">
      <c r="A20" s="4" t="s">
        <v>27</v>
      </c>
      <c r="B20" s="4"/>
      <c r="C20" s="4"/>
      <c r="D20" s="4"/>
      <c r="E20" s="4"/>
      <c r="F20" s="4"/>
      <c r="G20" s="4"/>
      <c r="H20" s="4"/>
      <c r="I20" s="4"/>
    </row>
    <row r="21" spans="1:9" x14ac:dyDescent="0.25">
      <c r="A21" s="5" t="s">
        <v>28</v>
      </c>
      <c r="B21" s="5" t="s">
        <v>4</v>
      </c>
      <c r="C21" s="5" t="s">
        <v>29</v>
      </c>
      <c r="D21" s="5" t="s">
        <v>10</v>
      </c>
      <c r="E21" s="5" t="s">
        <v>30</v>
      </c>
      <c r="F21" s="5" t="s">
        <v>31</v>
      </c>
      <c r="G21" s="5" t="s">
        <v>32</v>
      </c>
      <c r="H21" s="5" t="s">
        <v>33</v>
      </c>
      <c r="I21" s="5" t="s">
        <v>34</v>
      </c>
    </row>
    <row r="22" ht="24" customHeight="1" spans="1:9" x14ac:dyDescent="0.25">
      <c r="A22" s="6" t="s">
        <v>12</v>
      </c>
      <c r="B22" s="26">
        <f>B7</f>
      </c>
      <c r="C22" s="26">
        <f>G7</f>
      </c>
      <c r="D22" s="10">
        <f>H7</f>
      </c>
      <c r="E22" s="27">
        <f>IF(B22=0,0,C22/B22)</f>
      </c>
      <c r="F22" s="27">
        <f>IF($C$3=0,0,C22/$C$3)</f>
      </c>
      <c r="G22" s="18">
        <f>IF(C22&gt;B22,"⚠ EXCEDIDO",IF(C22/B22&gt;0.8,"⚡ ALTO","✓ OK"))</f>
      </c>
      <c r="H22" s="18">
        <f>IF(G12&gt;$C$3,"⚠ EXCEDIDO","✓ OK")</f>
      </c>
      <c r="I22" s="26">
        <f>MAX(0,$C$3-G12)</f>
      </c>
    </row>
    <row r="23" ht="24" customHeight="1" spans="1:9" x14ac:dyDescent="0.25">
      <c r="A23" s="12" t="s">
        <v>13</v>
      </c>
      <c r="B23" s="28">
        <f>B8</f>
      </c>
      <c r="C23" s="28">
        <f>G8</f>
      </c>
      <c r="D23" s="10">
        <f>H8</f>
      </c>
      <c r="E23" s="29">
        <f>IF(B23=0,0,C23/B23)</f>
      </c>
      <c r="F23" s="29">
        <f>IF($C$3=0,0,C23/$C$3)</f>
      </c>
      <c r="G23" s="30">
        <f>IF(C23&gt;B23,"⚠ EXCEDIDO",IF(C23/B23&gt;0.8,"⚡ ALTO","✓ OK"))</f>
      </c>
      <c r="H23" s="30">
        <f>IF(G12&gt;$C$3,"⚠ EXCEDIDO","✓ OK")</f>
      </c>
      <c r="I23" s="28">
        <f>MAX(0,$C$3-G12)</f>
      </c>
    </row>
    <row r="24" ht="24" customHeight="1" spans="1:9" x14ac:dyDescent="0.25">
      <c r="A24" s="6" t="s">
        <v>14</v>
      </c>
      <c r="B24" s="26">
        <f>B9</f>
      </c>
      <c r="C24" s="26">
        <f>G9</f>
      </c>
      <c r="D24" s="10">
        <f>H9</f>
      </c>
      <c r="E24" s="27">
        <f>IF(B24=0,0,C24/B24)</f>
      </c>
      <c r="F24" s="27">
        <f>IF($C$3=0,0,C24/$C$3)</f>
      </c>
      <c r="G24" s="18">
        <f>IF(C24&gt;B24,"⚠ EXCEDIDO",IF(C24/B24&gt;0.8,"⚡ ALTO","✓ OK"))</f>
      </c>
      <c r="H24" s="18">
        <f>IF(G12&gt;$C$3,"⚠ EXCEDIDO","✓ OK")</f>
      </c>
      <c r="I24" s="26">
        <f>MAX(0,$C$3-G12)</f>
      </c>
    </row>
    <row r="25" ht="24" customHeight="1" spans="1:9" x14ac:dyDescent="0.25">
      <c r="A25" s="12" t="s">
        <v>15</v>
      </c>
      <c r="B25" s="28">
        <f>B10</f>
      </c>
      <c r="C25" s="28">
        <f>G10</f>
      </c>
      <c r="D25" s="10">
        <f>H10</f>
      </c>
      <c r="E25" s="29">
        <f>IF(B25=0,0,C25/B25)</f>
      </c>
      <c r="F25" s="29">
        <f>IF($C$3=0,0,C25/$C$3)</f>
      </c>
      <c r="G25" s="30">
        <f>IF(C25&gt;B25,"⚠ EXCEDIDO",IF(C25/B25&gt;0.8,"⚡ ALTO","✓ OK"))</f>
      </c>
      <c r="H25" s="30">
        <f>IF(G12&gt;$C$3,"⚠ EXCEDIDO","✓ OK")</f>
      </c>
      <c r="I25" s="28">
        <f>MAX(0,$C$3-G12)</f>
      </c>
    </row>
    <row r="26" ht="24" customHeight="1" spans="1:9" x14ac:dyDescent="0.25">
      <c r="A26" s="6" t="s">
        <v>16</v>
      </c>
      <c r="B26" s="26">
        <f>B11</f>
      </c>
      <c r="C26" s="26">
        <f>G11</f>
      </c>
      <c r="D26" s="10">
        <f>H11</f>
      </c>
      <c r="E26" s="27">
        <f>IF(B26=0,0,C26/B26)</f>
      </c>
      <c r="F26" s="27">
        <f>IF($C$3=0,0,C26/$C$3)</f>
      </c>
      <c r="G26" s="18">
        <f>IF(C26&gt;B26,"⚠ EXCEDIDO",IF(C26/B26&gt;0.8,"⚡ ALTO","✓ OK"))</f>
      </c>
      <c r="H26" s="18">
        <f>IF(G12&gt;$C$3,"⚠ EXCEDIDO","✓ OK")</f>
      </c>
      <c r="I26" s="26">
        <f>MAX(0,$C$3-G12)</f>
      </c>
    </row>
  </sheetData>
  <mergeCells count="5">
    <mergeCell ref="A1:I1"/>
    <mergeCell ref="A3:B3"/>
    <mergeCell ref="A5:I5"/>
    <mergeCell ref="A14:E14"/>
    <mergeCell ref="A20:I20"/>
  </mergeCells>
  <conditionalFormatting sqref="H7:H11">
    <cfRule type="cellIs" dxfId="0" priority="1" operator="lessThan">
      <formula>0</formula>
    </cfRule>
  </conditionalFormatting>
  <conditionalFormatting sqref="H12">
    <cfRule type="cellIs" dxfId="1" priority="2" operator="lessThan">
      <formula>0</formula>
    </cfRule>
  </conditionalFormatting>
  <conditionalFormatting sqref="I7:I11">
    <cfRule type="cellIs" dxfId="2" priority="3" operator="greaterThan">
      <formula>1</formula>
    </cfRule>
    <cfRule type="cellIs" dxfId="3" priority="4" operator="greaterThan">
      <formula>0.8</formula>
    </cfRule>
  </conditionalFormatting>
  <dataValidations count="2">
    <dataValidation type="decimal" operator="greaterThanOrEqual" showErrorMessage="1" errorTitle="Valor no válido" error="Las disposiciones no pueden ser negativas." sqref="C10:F11">
      <formula1>0</formula1>
    </dataValidation>
    <dataValidation type="decimal" operator="greaterThanOrEqual" showErrorMessage="1" errorTitle="Valor no válido" error="Las disposiciones no pueden ser negativas." sqref="C7:F11">
      <formula1>0</formula1>
    </dataValidation>
  </dataValidations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607D8B"/>
  </sheetPr>
  <dimension ref="A1:B29"/>
  <sheetFormatPr defaultRowHeight="15" outlineLevelRow="0" outlineLevelCol="0" x14ac:dyDescent="55"/>
  <cols>
    <col min="1" max="1" width="60" customWidth="1"/>
    <col min="2" max="2" width="40" customWidth="1"/>
  </cols>
  <sheetData>
    <row r="1" spans="1:2" x14ac:dyDescent="0.25">
      <c r="A1" s="31" t="s">
        <v>35</v>
      </c>
      <c r="B1" t="s">
        <v>23</v>
      </c>
    </row>
    <row r="2" spans="1:2" x14ac:dyDescent="0.25">
      <c r="A2" t="s">
        <v>23</v>
      </c>
      <c r="B2" t="s">
        <v>23</v>
      </c>
    </row>
    <row r="3" spans="1:2" x14ac:dyDescent="0.25">
      <c r="A3" t="s">
        <v>36</v>
      </c>
      <c r="B3" t="s">
        <v>37</v>
      </c>
    </row>
    <row r="4" spans="1:2" x14ac:dyDescent="0.25">
      <c r="A4" t="s">
        <v>38</v>
      </c>
      <c r="B4" t="s">
        <v>23</v>
      </c>
    </row>
    <row r="5" spans="1:2" x14ac:dyDescent="0.25">
      <c r="A5" t="s">
        <v>23</v>
      </c>
      <c r="B5" t="s">
        <v>23</v>
      </c>
    </row>
    <row r="6" spans="1:2" x14ac:dyDescent="0.25">
      <c r="A6" t="s">
        <v>39</v>
      </c>
      <c r="B6" t="s">
        <v>40</v>
      </c>
    </row>
    <row r="7" spans="1:2" x14ac:dyDescent="0.25">
      <c r="A7" t="s">
        <v>41</v>
      </c>
      <c r="B7" t="s">
        <v>23</v>
      </c>
    </row>
    <row r="8" spans="1:2" x14ac:dyDescent="0.25">
      <c r="A8" t="s">
        <v>42</v>
      </c>
      <c r="B8" t="s">
        <v>23</v>
      </c>
    </row>
    <row r="9" spans="1:2" x14ac:dyDescent="0.25">
      <c r="A9" t="s">
        <v>23</v>
      </c>
      <c r="B9" t="s">
        <v>23</v>
      </c>
    </row>
    <row r="10" spans="1:2" x14ac:dyDescent="0.25">
      <c r="A10" t="s">
        <v>43</v>
      </c>
      <c r="B10" t="s">
        <v>44</v>
      </c>
    </row>
    <row r="11" spans="1:2" x14ac:dyDescent="0.25">
      <c r="A11" t="s">
        <v>45</v>
      </c>
      <c r="B11" t="s">
        <v>23</v>
      </c>
    </row>
    <row r="12" spans="1:2" x14ac:dyDescent="0.25">
      <c r="A12" t="s">
        <v>46</v>
      </c>
      <c r="B12" t="s">
        <v>23</v>
      </c>
    </row>
    <row r="13" spans="1:2" x14ac:dyDescent="0.25">
      <c r="A13" t="s">
        <v>23</v>
      </c>
      <c r="B13" t="s">
        <v>23</v>
      </c>
    </row>
    <row r="14" spans="1:2" x14ac:dyDescent="0.25">
      <c r="A14" t="s">
        <v>47</v>
      </c>
      <c r="B14" t="s">
        <v>23</v>
      </c>
    </row>
    <row r="15" spans="1:2" x14ac:dyDescent="0.25">
      <c r="A15" t="s">
        <v>48</v>
      </c>
      <c r="B15" t="s">
        <v>23</v>
      </c>
    </row>
    <row r="16" spans="1:2" x14ac:dyDescent="0.25">
      <c r="A16" t="s">
        <v>49</v>
      </c>
      <c r="B16" t="s">
        <v>23</v>
      </c>
    </row>
    <row r="17" spans="1:2" x14ac:dyDescent="0.25">
      <c r="A17" t="s">
        <v>50</v>
      </c>
      <c r="B17" t="s">
        <v>23</v>
      </c>
    </row>
    <row r="18" spans="1:2" x14ac:dyDescent="0.25">
      <c r="A18" t="s">
        <v>51</v>
      </c>
      <c r="B18" t="s">
        <v>23</v>
      </c>
    </row>
    <row r="19" spans="1:2" x14ac:dyDescent="0.25">
      <c r="A19" t="s">
        <v>23</v>
      </c>
      <c r="B19" t="s">
        <v>23</v>
      </c>
    </row>
    <row r="20" spans="1:2" x14ac:dyDescent="0.25">
      <c r="A20" t="s">
        <v>52</v>
      </c>
      <c r="B20" t="s">
        <v>23</v>
      </c>
    </row>
    <row r="21" spans="1:2" x14ac:dyDescent="0.25">
      <c r="A21" t="s">
        <v>53</v>
      </c>
      <c r="B21" t="s">
        <v>23</v>
      </c>
    </row>
    <row r="22" spans="1:2" x14ac:dyDescent="0.25">
      <c r="A22" t="s">
        <v>54</v>
      </c>
      <c r="B22" t="s">
        <v>23</v>
      </c>
    </row>
    <row r="23" spans="1:2" x14ac:dyDescent="0.25">
      <c r="A23" t="s">
        <v>55</v>
      </c>
      <c r="B23" t="s">
        <v>23</v>
      </c>
    </row>
    <row r="24" spans="1:2" x14ac:dyDescent="0.25">
      <c r="A24" t="s">
        <v>56</v>
      </c>
      <c r="B24" t="s">
        <v>23</v>
      </c>
    </row>
    <row r="25" spans="1:2" x14ac:dyDescent="0.25">
      <c r="A25" t="s">
        <v>23</v>
      </c>
      <c r="B25" t="s">
        <v>23</v>
      </c>
    </row>
    <row r="26" spans="1:2" x14ac:dyDescent="0.25">
      <c r="A26" t="s">
        <v>57</v>
      </c>
      <c r="B26" t="s">
        <v>23</v>
      </c>
    </row>
    <row r="27" spans="1:2" x14ac:dyDescent="0.25">
      <c r="A27" t="s">
        <v>58</v>
      </c>
      <c r="B27" t="s">
        <v>23</v>
      </c>
    </row>
    <row r="28" spans="1:2" x14ac:dyDescent="0.25">
      <c r="A28" t="s">
        <v>59</v>
      </c>
      <c r="B28" t="s">
        <v>23</v>
      </c>
    </row>
    <row r="29" spans="1:2" x14ac:dyDescent="0.25">
      <c r="A29" t="s">
        <v>60</v>
      </c>
      <c r="B29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Simulador PMM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Simulador PMM</dc:creator>
  <dc:title/>
  <dc:subject/>
  <dc:description/>
  <cp:keywords/>
  <cp:category/>
  <cp:lastModifiedBy>Unknown</cp:lastModifiedBy>
  <dcterms:created xsi:type="dcterms:W3CDTF">2026-04-22T14:14:09Z</dcterms:created>
  <dcterms:modified xsi:type="dcterms:W3CDTF">2026-04-22T14:14:09Z</dcterms:modified>
</cp:coreProperties>
</file>