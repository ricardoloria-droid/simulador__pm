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mulador PMM" state="visible" r:id="rId4"/>
    <sheet sheetId="2" name="Instrucciones" state="visible" r:id="rId5"/>
  </sheets>
  <calcPr calcId="171027"/>
</workbook>
</file>

<file path=xl/sharedStrings.xml><?xml version="1.0" encoding="utf-8"?>
<sst xmlns="http://schemas.openxmlformats.org/spreadsheetml/2006/main" count="120" uniqueCount="75">
  <si>
    <t>SIMULADOR PÓLIZA MULTIPRODUCTO MULTIEMPRESA (PMM)</t>
  </si>
  <si>
    <t>Contrato de Afianzamiento — Póliza Paraguas</t>
  </si>
  <si>
    <t>LÍMITE GLOBAL PMM:</t>
  </si>
  <si>
    <t>DISPONIBLE GLOBAL:</t>
  </si>
  <si>
    <t>MATRIZ DE DISPOSICIONES POR EMPRESA Y PRODUCTO</t>
  </si>
  <si>
    <t>Tipo de Producto</t>
  </si>
  <si>
    <t>Sublímite</t>
  </si>
  <si>
    <t>Empresa 1</t>
  </si>
  <si>
    <t>Empresa 2</t>
  </si>
  <si>
    <t>Empresa 3</t>
  </si>
  <si>
    <t>Empresa 4</t>
  </si>
  <si>
    <t>Total Dispuesto</t>
  </si>
  <si>
    <t>Disponible</t>
  </si>
  <si>
    <t>% Utilización</t>
  </si>
  <si>
    <t>Créditos</t>
  </si>
  <si>
    <t>Descuento Comercial</t>
  </si>
  <si>
    <t>Confirming</t>
  </si>
  <si>
    <t>Comex</t>
  </si>
  <si>
    <t>Préstamos</t>
  </si>
  <si>
    <t>TOTAL PMM</t>
  </si>
  <si>
    <t>INDICADORES GLOBALES</t>
  </si>
  <si>
    <t>Indicador</t>
  </si>
  <si>
    <t>Importe</t>
  </si>
  <si>
    <t>% sobre Límite</t>
  </si>
  <si>
    <t>Estado</t>
  </si>
  <si>
    <t/>
  </si>
  <si>
    <t>Límite Global PMM</t>
  </si>
  <si>
    <t>—</t>
  </si>
  <si>
    <t>Disponible Global</t>
  </si>
  <si>
    <t>INDICADORES POR PRODUCTO</t>
  </si>
  <si>
    <t>Producto</t>
  </si>
  <si>
    <t>Dispuesto</t>
  </si>
  <si>
    <t>% Sublímite</t>
  </si>
  <si>
    <t>% Global</t>
  </si>
  <si>
    <t>Estado Sublímite</t>
  </si>
  <si>
    <t>Estado Global</t>
  </si>
  <si>
    <t>Margen Global</t>
  </si>
  <si>
    <t>LEYENDA</t>
  </si>
  <si>
    <t>🟡 Amarillo claro</t>
  </si>
  <si>
    <t>Celda editable — disposiciones por empresa</t>
  </si>
  <si>
    <t>🔵 Azul claro</t>
  </si>
  <si>
    <t>Celda editable — sublímite de producto / límite global</t>
  </si>
  <si>
    <t>🟢 Verde claro</t>
  </si>
  <si>
    <t>Disponible (calculado automáticamente)</t>
  </si>
  <si>
    <t>🔴 Rojo / "ERROR"</t>
  </si>
  <si>
    <t>Límite excedido — sublímite o global superado</t>
  </si>
  <si>
    <t>⚡ Ámbar</t>
  </si>
  <si>
    <t>Utilización &gt; 80% (alerta preventiva)</t>
  </si>
  <si>
    <t>✓ OK</t>
  </si>
  <si>
    <t>Dentro de parámetros</t>
  </si>
  <si>
    <t>INSTRUCCIONES DE USO — SIMULADOR PMM</t>
  </si>
  <si>
    <t>1. LÍMITE GLOBAL (celda C3)</t>
  </si>
  <si>
    <t xml:space="preserve">   Modifique el límite global de la póliza paraguas.</t>
  </si>
  <si>
    <t xml:space="preserve">   El disponible global se muestra en G3:H3 y se actualiza automáticamente.</t>
  </si>
  <si>
    <t>2. SUBLÍMITES POR PRODUCTO (columna B, filas 7-11)</t>
  </si>
  <si>
    <t xml:space="preserve">   Modifique los sublímites de cada tipo de producto.</t>
  </si>
  <si>
    <t xml:space="preserve">   Los sublímites pueden superar el límite global (son techos por producto).</t>
  </si>
  <si>
    <t>3. DISPOSICIONES POR EMPRESA (celdas amarillas, C7:F11)</t>
  </si>
  <si>
    <t xml:space="preserve">   Introduzca los importes dispuestos por cada empresa en cada producto.</t>
  </si>
  <si>
    <t xml:space="preserve">   No se permiten valores negativos.</t>
  </si>
  <si>
    <t>4. SISTEMA DE ALERTAS</t>
  </si>
  <si>
    <t xml:space="preserve">   • "ERROR" (rojo): el total dispuesto supera el sublímite del producto</t>
  </si>
  <si>
    <t xml:space="preserve">     O el total global supera el límite PMM.</t>
  </si>
  <si>
    <t xml:space="preserve">   • Disponible = 0 (rojo): no queda margen disponible.</t>
  </si>
  <si>
    <t xml:space="preserve">   • ⚡ ALTO (ámbar): utilización superior al 80%.</t>
  </si>
  <si>
    <t xml:space="preserve">   • ✓ OK (verde): dentro de parámetros.</t>
  </si>
  <si>
    <t>5. REGLA FUNDAMENTAL</t>
  </si>
  <si>
    <t xml:space="preserve">   El límite global NO puede superarse. El disponible por producto</t>
  </si>
  <si>
    <t xml:space="preserve">   se ajusta automáticamente respetando AMBOS techos (sublímite y global).</t>
  </si>
  <si>
    <t xml:space="preserve">   Los valores nunca serán negativos: mínimo 0 o texto ERROR.</t>
  </si>
  <si>
    <t>6. CELDAS EDITABLES</t>
  </si>
  <si>
    <t xml:space="preserve">   • C3: Límite global PMM</t>
  </si>
  <si>
    <t xml:space="preserve">   • B7:B11: Sublímites por producto</t>
  </si>
  <si>
    <t xml:space="preserve">   • C7:F11: Disposiciones por empresa y producto</t>
  </si>
  <si>
    <t xml:space="preserve">   Todas las demás celdas son de cálculo automático.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</si>
</sst>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 €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i/>
      <color rgb="B2DFDB"/>
      <sz val="10"/>
      <name val="Calibri"/>
    </font>
    <font>
      <i/>
      <color rgb="607D8B"/>
      <sz val="9"/>
      <name val="Calibri"/>
    </font>
    <font>
      <b/>
      <color rgb="004D40"/>
      <sz val="11"/>
      <name val="Calibri"/>
    </font>
    <font>
      <b/>
      <color rgb="00838F"/>
      <sz val="14"/>
      <name val="Calibri"/>
    </font>
    <font>
      <b/>
      <color rgb="FFFFFF"/>
      <sz val="11"/>
      <name val="Calibri"/>
    </font>
    <font>
      <b/>
      <color rgb="FFFFFF"/>
      <sz val="10"/>
      <name val="Calibri"/>
    </font>
    <font>
      <b/>
      <color rgb="000000"/>
      <sz val="10"/>
      <name val="Calibri"/>
    </font>
    <font>
      <color rgb="000000"/>
      <sz val="10"/>
      <name val="Calibri"/>
    </font>
    <font>
      <b/>
      <color rgb="004D40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00838F"/>
      </patternFill>
    </fill>
    <fill>
      <patternFill patternType="solid">
        <fgColor rgb="E0F7FA"/>
      </patternFill>
    </fill>
    <fill>
      <patternFill patternType="solid">
        <fgColor rgb="C8E6C9"/>
      </patternFill>
    </fill>
    <fill>
      <patternFill patternType="solid">
        <fgColor rgb="004D40"/>
      </patternFill>
    </fill>
    <fill>
      <patternFill patternType="solid">
        <fgColor rgb="ECEFF1"/>
      </patternFill>
    </fill>
    <fill>
      <patternFill patternType="solid">
        <fgColor rgb="FFF8E1"/>
      </patternFill>
    </fill>
    <fill>
      <patternFill patternType="solid">
        <fgColor rgb="B2DFDB"/>
      </patternFill>
    </fill>
    <fill>
      <patternFill patternType="solid">
        <fgColor rgb="FFFFFF"/>
      </patternFill>
    </fill>
  </fills>
  <borders count="3">
    <border>
      <left/>
      <right/>
      <top/>
      <bottom/>
      <diagonal/>
    </border>
    <border>
      <left style="medium">
        <color rgb="00838F"/>
      </left>
      <right style="medium">
        <color rgb="00838F"/>
      </right>
      <top style="medium">
        <color rgb="00838F"/>
      </top>
      <bottom style="medium">
        <color rgb="00838F"/>
      </bottom>
      <diagonal/>
    </border>
    <border>
      <left style="thin">
        <color rgb="B2DFDB"/>
      </left>
      <right style="thin">
        <color rgb="B2DFDB"/>
      </right>
      <top style="thin">
        <color rgb="B2DFDB"/>
      </top>
      <bottom style="thin">
        <color rgb="B2DFD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164" fontId="5" fillId="3" borderId="1" xfId="0" applyNumberFormat="1" applyFont="1" applyFill="1" applyBorder="1" applyAlignment="1" applyProtection="1">
      <alignment horizontal="center" vertical="center"/>
      <protection locked="0"/>
    </xf>
    <xf numFmtId="164" fontId="5" fillId="4" borderId="1" xfId="0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left" vertical="center"/>
    </xf>
    <xf numFmtId="164" fontId="8" fillId="3" borderId="2" xfId="0" applyNumberFormat="1" applyFont="1" applyFill="1" applyBorder="1" applyAlignment="1" applyProtection="1">
      <alignment horizontal="center" vertical="center"/>
      <protection locked="0"/>
    </xf>
    <xf numFmtId="164" fontId="9" fillId="7" borderId="2" xfId="0" applyNumberFormat="1" applyFont="1" applyFill="1" applyBorder="1" applyAlignment="1" applyProtection="1">
      <alignment horizontal="center" vertical="center"/>
      <protection locked="0"/>
    </xf>
    <xf numFmtId="164" fontId="8" fillId="8" borderId="2" xfId="0" applyNumberFormat="1" applyFont="1" applyFill="1" applyBorder="1" applyAlignment="1">
      <alignment horizontal="center" vertical="center"/>
    </xf>
    <xf numFmtId="164" fontId="8" fillId="4" borderId="2" xfId="0" applyNumberFormat="1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left" vertical="center"/>
    </xf>
    <xf numFmtId="165" fontId="8" fillId="9" borderId="2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center" vertical="center"/>
    </xf>
    <xf numFmtId="165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165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  <xf numFmtId="165" fontId="9" fillId="6" borderId="2" xfId="0" applyNumberFormat="1" applyFont="1" applyFill="1" applyBorder="1" applyAlignment="1">
      <alignment horizontal="center" vertical="center"/>
    </xf>
    <xf numFmtId="164" fontId="9" fillId="9" borderId="2" xfId="0" applyNumberFormat="1" applyFont="1" applyFill="1" applyBorder="1" applyAlignment="1">
      <alignment horizontal="center" vertical="center"/>
    </xf>
    <xf numFmtId="165" fontId="9" fillId="9" borderId="2" xfId="0" applyNumberFormat="1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10" fillId="0" borderId="0" xfId="0" applyFont="1"/>
  </cellXfs>
  <cellStyles count="1">
    <cellStyle name="Normal" xfId="0" builtinId="0"/>
  </cellStyles>
  <dxfs count="13"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E65100"/>
      </font>
      <fill>
        <patternFill patternType="solid">
          <fgColor rgb="FFF3E0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C62828"/>
        <sz val="10"/>
        <name val="Calibri"/>
      </font>
      <fill>
        <patternFill patternType="solid">
          <fgColor rgb="FFCDD2"/>
        </patternFill>
      </fill>
    </dxf>
    <dxf>
      <font>
        <b/>
        <color rgb="E65100"/>
      </font>
      <fill>
        <patternFill patternType="solid">
          <fgColor rgb="FFF3E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38F"/>
    <pageSetUpPr fitToPage="1"/>
  </sheetPr>
  <dimension ref="A1:I34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0" customWidth="1"/>
    <col min="3" max="6" width="18" customWidth="1"/>
    <col min="7" max="8" width="20" customWidth="1"/>
    <col min="9" max="9" width="14" customWidth="1"/>
  </cols>
  <sheetData>
    <row r="1" ht="38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2" customHeight="1" spans="1:9" x14ac:dyDescent="0.25">
      <c r="A2" s="2" t="s">
        <v>1</v>
      </c>
      <c r="B2" s="2"/>
      <c r="C2" s="2"/>
      <c r="D2" s="2"/>
      <c r="E2" s="2"/>
      <c r="G2" s="3">
        <f>TEXT(TODAY(),""Fecha simulación: "DD/MM/YYYY")</f>
      </c>
      <c r="H2" s="3"/>
      <c r="I2" s="3"/>
    </row>
    <row r="3" ht="32" customHeight="1" spans="1:8" x14ac:dyDescent="0.25">
      <c r="A3" s="4" t="s">
        <v>2</v>
      </c>
      <c r="B3" s="4"/>
      <c r="C3" s="5">
        <v>8000000</v>
      </c>
      <c r="E3" s="4" t="s">
        <v>3</v>
      </c>
      <c r="F3" s="4"/>
      <c r="G3" s="6">
        <f>MAX(0,$C$3-SUM($C$7:$F$11))</f>
      </c>
      <c r="H3" s="6"/>
    </row>
    <row r="5" ht="28" customHeight="1" spans="1:9" x14ac:dyDescent="0.25">
      <c r="A5" s="7" t="s">
        <v>4</v>
      </c>
      <c r="B5" s="7"/>
      <c r="C5" s="7"/>
      <c r="D5" s="7"/>
      <c r="E5" s="7"/>
      <c r="F5" s="7"/>
      <c r="G5" s="7"/>
      <c r="H5" s="7"/>
      <c r="I5" s="7"/>
    </row>
    <row r="6" ht="28" customHeight="1" spans="1:9" x14ac:dyDescent="0.25">
      <c r="A6" s="8" t="s">
        <v>5</v>
      </c>
      <c r="B6" s="8" t="s">
        <v>6</v>
      </c>
      <c r="C6" s="8" t="s">
        <v>7</v>
      </c>
      <c r="D6" s="8" t="s">
        <v>8</v>
      </c>
      <c r="E6" s="8" t="s">
        <v>9</v>
      </c>
      <c r="F6" s="8" t="s">
        <v>10</v>
      </c>
      <c r="G6" s="8" t="s">
        <v>11</v>
      </c>
      <c r="H6" s="8" t="s">
        <v>12</v>
      </c>
      <c r="I6" s="8" t="s">
        <v>13</v>
      </c>
    </row>
    <row r="7" ht="24" customHeight="1" spans="1:9" x14ac:dyDescent="0.25">
      <c r="A7" s="9" t="s">
        <v>14</v>
      </c>
      <c r="B7" s="10">
        <v>2000000</v>
      </c>
      <c r="C7" s="11">
        <v>500000</v>
      </c>
      <c r="D7" s="11">
        <v>300000</v>
      </c>
      <c r="E7" s="11">
        <v>200000</v>
      </c>
      <c r="F7" s="11">
        <v>400000</v>
      </c>
      <c r="G7" s="12">
        <f>IF(OR(SUM(C7:F7)&gt;B7,SUM($C$7:$F$11)&gt;$C$3),"ERROR",SUM(C7:F7))</f>
      </c>
      <c r="H7" s="13">
        <f>IF(NOT(ISNUMBER(G7)),0,MAX(0,MIN(B7-SUM(C7:F7),MAX(0,$C$3-SUM($C$7:$F$11)))))</f>
      </c>
      <c r="I7" s="14">
        <f>IF(NOT(ISNUMBER(G7)),"—",IF(B7=0,0,SUM(C7:F7)/B7))</f>
      </c>
    </row>
    <row r="8" ht="24" customHeight="1" spans="1:9" x14ac:dyDescent="0.25">
      <c r="A8" s="15" t="s">
        <v>15</v>
      </c>
      <c r="B8" s="10">
        <v>8000000</v>
      </c>
      <c r="C8" s="11">
        <v>1000000</v>
      </c>
      <c r="D8" s="11">
        <v>500000</v>
      </c>
      <c r="E8" s="11">
        <v>800000</v>
      </c>
      <c r="F8" s="11">
        <v>700000</v>
      </c>
      <c r="G8" s="12">
        <f>IF(OR(SUM(C8:F8)&gt;B8,SUM($C$7:$F$11)&gt;$C$3),"ERROR",SUM(C8:F8))</f>
      </c>
      <c r="H8" s="13">
        <f>IF(NOT(ISNUMBER(G8)),0,MAX(0,MIN(B8-SUM(C8:F8),MAX(0,$C$3-SUM($C$7:$F$11)))))</f>
      </c>
      <c r="I8" s="16">
        <f>IF(NOT(ISNUMBER(G8)),"—",IF(B8=0,0,SUM(C8:F8)/B8))</f>
      </c>
    </row>
    <row r="9" ht="24" customHeight="1" spans="1:9" x14ac:dyDescent="0.25">
      <c r="A9" s="9" t="s">
        <v>16</v>
      </c>
      <c r="B9" s="10">
        <v>8000000</v>
      </c>
      <c r="C9" s="11">
        <v>300000</v>
      </c>
      <c r="D9" s="11">
        <v>200000</v>
      </c>
      <c r="E9" s="11">
        <v>400000</v>
      </c>
      <c r="F9" s="11">
        <v>100000</v>
      </c>
      <c r="G9" s="12">
        <f>IF(OR(SUM(C9:F9)&gt;B9,SUM($C$7:$F$11)&gt;$C$3),"ERROR",SUM(C9:F9))</f>
      </c>
      <c r="H9" s="13">
        <f>IF(NOT(ISNUMBER(G9)),0,MAX(0,MIN(B9-SUM(C9:F9),MAX(0,$C$3-SUM($C$7:$F$11)))))</f>
      </c>
      <c r="I9" s="14">
        <f>IF(NOT(ISNUMBER(G9)),"—",IF(B9=0,0,SUM(C9:F9)/B9))</f>
      </c>
    </row>
    <row r="10" ht="24" customHeight="1" spans="1:9" x14ac:dyDescent="0.25">
      <c r="A10" s="15" t="s">
        <v>17</v>
      </c>
      <c r="B10" s="10">
        <v>8000000</v>
      </c>
      <c r="C10" s="11">
        <v>0</v>
      </c>
      <c r="D10" s="11">
        <v>100000</v>
      </c>
      <c r="E10" s="11">
        <v>200000</v>
      </c>
      <c r="F10" s="11">
        <v>0</v>
      </c>
      <c r="G10" s="12">
        <f>IF(OR(SUM(C10:F10)&gt;B10,SUM($C$7:$F$11)&gt;$C$3),"ERROR",SUM(C10:F10))</f>
      </c>
      <c r="H10" s="13">
        <f>IF(NOT(ISNUMBER(G10)),0,MAX(0,MIN(B10-SUM(C10:F10),MAX(0,$C$3-SUM($C$7:$F$11)))))</f>
      </c>
      <c r="I10" s="16">
        <f>IF(NOT(ISNUMBER(G10)),"—",IF(B10=0,0,SUM(C10:F10)/B10))</f>
      </c>
    </row>
    <row r="11" ht="24" customHeight="1" spans="1:9" x14ac:dyDescent="0.25">
      <c r="A11" s="9" t="s">
        <v>18</v>
      </c>
      <c r="B11" s="10">
        <v>4000000</v>
      </c>
      <c r="C11" s="11">
        <v>500000</v>
      </c>
      <c r="D11" s="11">
        <v>300000</v>
      </c>
      <c r="E11" s="11">
        <v>400000</v>
      </c>
      <c r="F11" s="11">
        <v>300000</v>
      </c>
      <c r="G11" s="12">
        <f>IF(OR(SUM(C11:F11)&gt;B11,SUM($C$7:$F$11)&gt;$C$3),"ERROR",SUM(C11:F11))</f>
      </c>
      <c r="H11" s="13">
        <f>IF(NOT(ISNUMBER(G11)),0,MAX(0,MIN(B11-SUM(C11:F11),MAX(0,$C$3-SUM($C$7:$F$11)))))</f>
      </c>
      <c r="I11" s="14">
        <f>IF(NOT(ISNUMBER(G11)),"—",IF(B11=0,0,SUM(C11:F11)/B11))</f>
      </c>
    </row>
    <row r="12" ht="28" customHeight="1" spans="1:9" x14ac:dyDescent="0.25">
      <c r="A12" s="17" t="s">
        <v>19</v>
      </c>
      <c r="B12" s="18">
        <f>SUM(B7:B11)</f>
      </c>
      <c r="C12" s="18">
        <f>SUM(C7:C11)</f>
      </c>
      <c r="D12" s="18">
        <f>SUM(D7:D11)</f>
      </c>
      <c r="E12" s="18">
        <f>SUM(E7:E11)</f>
      </c>
      <c r="F12" s="18">
        <f>SUM(F7:F11)</f>
      </c>
      <c r="G12" s="18">
        <f>IF(SUM($C$7:$F$11)&gt;$C$3,"ERROR",SUM($C$7:$F$11))</f>
      </c>
      <c r="H12" s="18">
        <f>IF(NOT(ISNUMBER(G12)),0,MAX(0,$C$3-SUM($C$7:$F$11)))</f>
      </c>
      <c r="I12" s="19">
        <f>IF(NOT(ISNUMBER(G12)),"—",IF($C$3=0,0,SUM($C$7:$F$11)/$C$3))</f>
      </c>
    </row>
    <row r="14" ht="28" customHeight="1" spans="1:5" x14ac:dyDescent="0.25">
      <c r="A14" s="7" t="s">
        <v>20</v>
      </c>
      <c r="B14" s="7"/>
      <c r="C14" s="7"/>
      <c r="D14" s="7"/>
      <c r="E14" s="7"/>
    </row>
    <row r="15" spans="1:5" x14ac:dyDescent="0.25">
      <c r="A15" s="8" t="s">
        <v>21</v>
      </c>
      <c r="B15" s="8" t="s">
        <v>22</v>
      </c>
      <c r="C15" s="8" t="s">
        <v>23</v>
      </c>
      <c r="D15" s="8" t="s">
        <v>24</v>
      </c>
      <c r="E15" s="8" t="s">
        <v>25</v>
      </c>
    </row>
    <row r="16" ht="24" customHeight="1" spans="1:4" x14ac:dyDescent="0.25">
      <c r="A16" s="9" t="s">
        <v>26</v>
      </c>
      <c r="B16" s="20">
        <f>$C$3</f>
      </c>
      <c r="C16" s="14">
        <v>1</v>
      </c>
      <c r="D16" s="21" t="s">
        <v>27</v>
      </c>
    </row>
    <row r="17" ht="24" customHeight="1" spans="1:4" x14ac:dyDescent="0.25">
      <c r="A17" s="22" t="s">
        <v>11</v>
      </c>
      <c r="B17" s="23">
        <f>IF(SUM($C$7:$F$11)&gt;$C$3,"ERROR",SUM($C$7:$F$11))</f>
      </c>
      <c r="C17" s="24">
        <f>IF(NOT(ISNUMBER(B17)),"—",IF($C$3=0,0,SUM($C$7:$F$11)/$C$3))</f>
      </c>
      <c r="D17" s="25">
        <f>IF(NOT(ISNUMBER(B17)),"⚠ EXCEDIDO","✓ OK")</f>
      </c>
    </row>
    <row r="18" ht="24" customHeight="1" spans="1:4" x14ac:dyDescent="0.25">
      <c r="A18" s="26" t="s">
        <v>28</v>
      </c>
      <c r="B18" s="13">
        <f>IF(NOT(ISNUMBER(B17)),0,MAX(0,$C$3-SUM($C$7:$F$11)))</f>
      </c>
      <c r="C18" s="27">
        <f>IF($C$3=0,0,B18/$C$3)</f>
      </c>
      <c r="D18" s="28">
        <f>IF(B18=0,"⚠ SIN DISPONIBLE","✓ DISPONIBLE")</f>
      </c>
    </row>
    <row r="20" ht="28" customHeight="1" spans="1:9" x14ac:dyDescent="0.25">
      <c r="A20" s="7" t="s">
        <v>29</v>
      </c>
      <c r="B20" s="7"/>
      <c r="C20" s="7"/>
      <c r="D20" s="7"/>
      <c r="E20" s="7"/>
      <c r="F20" s="7"/>
      <c r="G20" s="7"/>
      <c r="H20" s="7"/>
      <c r="I20" s="7"/>
    </row>
    <row r="21" spans="1:9" x14ac:dyDescent="0.25">
      <c r="A21" s="8" t="s">
        <v>30</v>
      </c>
      <c r="B21" s="8" t="s">
        <v>6</v>
      </c>
      <c r="C21" s="8" t="s">
        <v>31</v>
      </c>
      <c r="D21" s="8" t="s">
        <v>12</v>
      </c>
      <c r="E21" s="8" t="s">
        <v>32</v>
      </c>
      <c r="F21" s="8" t="s">
        <v>33</v>
      </c>
      <c r="G21" s="8" t="s">
        <v>34</v>
      </c>
      <c r="H21" s="8" t="s">
        <v>35</v>
      </c>
      <c r="I21" s="8" t="s">
        <v>36</v>
      </c>
    </row>
    <row r="22" ht="24" customHeight="1" spans="1:9" x14ac:dyDescent="0.25">
      <c r="A22" s="9" t="s">
        <v>14</v>
      </c>
      <c r="B22" s="29">
        <f>B7</f>
      </c>
      <c r="C22" s="29">
        <f>SUM(C7:F7)</f>
      </c>
      <c r="D22" s="13">
        <f>MAX(0,H7)</f>
      </c>
      <c r="E22" s="30">
        <f>IF(B22=0,0,C22/B22)</f>
      </c>
      <c r="F22" s="30">
        <f>IF($C$3=0,0,C22/$C$3)</f>
      </c>
      <c r="G22" s="21">
        <f>IF(C22&gt;B22,"⚠ EXCEDIDO",IF(B22=0,"—",IF(C22/B22&gt;0.8,"⚡ ALTO","✓ OK")))</f>
      </c>
      <c r="H22" s="21">
        <f>IF(SUM($C$7:$F$11)&gt;$C$3,"⚠ EXCEDIDO","✓ OK")</f>
      </c>
      <c r="I22" s="29">
        <f>MAX(0,$C$3-SUM($C$7:$F$11))</f>
      </c>
    </row>
    <row r="23" ht="24" customHeight="1" spans="1:9" x14ac:dyDescent="0.25">
      <c r="A23" s="15" t="s">
        <v>15</v>
      </c>
      <c r="B23" s="31">
        <f>B8</f>
      </c>
      <c r="C23" s="31">
        <f>SUM(C8:F8)</f>
      </c>
      <c r="D23" s="13">
        <f>MAX(0,H8)</f>
      </c>
      <c r="E23" s="32">
        <f>IF(B23=0,0,C23/B23)</f>
      </c>
      <c r="F23" s="32">
        <f>IF($C$3=0,0,C23/$C$3)</f>
      </c>
      <c r="G23" s="33">
        <f>IF(C23&gt;B23,"⚠ EXCEDIDO",IF(B23=0,"—",IF(C23/B23&gt;0.8,"⚡ ALTO","✓ OK")))</f>
      </c>
      <c r="H23" s="33">
        <f>IF(SUM($C$7:$F$11)&gt;$C$3,"⚠ EXCEDIDO","✓ OK")</f>
      </c>
      <c r="I23" s="31">
        <f>MAX(0,$C$3-SUM($C$7:$F$11))</f>
      </c>
    </row>
    <row r="24" ht="24" customHeight="1" spans="1:9" x14ac:dyDescent="0.25">
      <c r="A24" s="9" t="s">
        <v>16</v>
      </c>
      <c r="B24" s="29">
        <f>B9</f>
      </c>
      <c r="C24" s="29">
        <f>SUM(C9:F9)</f>
      </c>
      <c r="D24" s="13">
        <f>MAX(0,H9)</f>
      </c>
      <c r="E24" s="30">
        <f>IF(B24=0,0,C24/B24)</f>
      </c>
      <c r="F24" s="30">
        <f>IF($C$3=0,0,C24/$C$3)</f>
      </c>
      <c r="G24" s="21">
        <f>IF(C24&gt;B24,"⚠ EXCEDIDO",IF(B24=0,"—",IF(C24/B24&gt;0.8,"⚡ ALTO","✓ OK")))</f>
      </c>
      <c r="H24" s="21">
        <f>IF(SUM($C$7:$F$11)&gt;$C$3,"⚠ EXCEDIDO","✓ OK")</f>
      </c>
      <c r="I24" s="29">
        <f>MAX(0,$C$3-SUM($C$7:$F$11))</f>
      </c>
    </row>
    <row r="25" ht="24" customHeight="1" spans="1:9" x14ac:dyDescent="0.25">
      <c r="A25" s="15" t="s">
        <v>17</v>
      </c>
      <c r="B25" s="31">
        <f>B10</f>
      </c>
      <c r="C25" s="31">
        <f>SUM(C10:F10)</f>
      </c>
      <c r="D25" s="13">
        <f>MAX(0,H10)</f>
      </c>
      <c r="E25" s="32">
        <f>IF(B25=0,0,C25/B25)</f>
      </c>
      <c r="F25" s="32">
        <f>IF($C$3=0,0,C25/$C$3)</f>
      </c>
      <c r="G25" s="33">
        <f>IF(C25&gt;B25,"⚠ EXCEDIDO",IF(B25=0,"—",IF(C25/B25&gt;0.8,"⚡ ALTO","✓ OK")))</f>
      </c>
      <c r="H25" s="33">
        <f>IF(SUM($C$7:$F$11)&gt;$C$3,"⚠ EXCEDIDO","✓ OK")</f>
      </c>
      <c r="I25" s="31">
        <f>MAX(0,$C$3-SUM($C$7:$F$11))</f>
      </c>
    </row>
    <row r="26" ht="24" customHeight="1" spans="1:9" x14ac:dyDescent="0.25">
      <c r="A26" s="9" t="s">
        <v>18</v>
      </c>
      <c r="B26" s="29">
        <f>B11</f>
      </c>
      <c r="C26" s="29">
        <f>SUM(C11:F11)</f>
      </c>
      <c r="D26" s="13">
        <f>MAX(0,H11)</f>
      </c>
      <c r="E26" s="30">
        <f>IF(B26=0,0,C26/B26)</f>
      </c>
      <c r="F26" s="30">
        <f>IF($C$3=0,0,C26/$C$3)</f>
      </c>
      <c r="G26" s="21">
        <f>IF(C26&gt;B26,"⚠ EXCEDIDO",IF(B26=0,"—",IF(C26/B26&gt;0.8,"⚡ ALTO","✓ OK")))</f>
      </c>
      <c r="H26" s="21">
        <f>IF(SUM($C$7:$F$11)&gt;$C$3,"⚠ EXCEDIDO","✓ OK")</f>
      </c>
      <c r="I26" s="29">
        <f>MAX(0,$C$3-SUM($C$7:$F$11))</f>
      </c>
    </row>
    <row r="28" ht="24" customHeight="1" spans="1:5" x14ac:dyDescent="0.25">
      <c r="A28" s="7" t="s">
        <v>37</v>
      </c>
      <c r="B28" s="7"/>
      <c r="C28" s="7"/>
      <c r="D28" s="7"/>
      <c r="E28" s="7"/>
    </row>
    <row r="29" spans="1:5" x14ac:dyDescent="0.25">
      <c r="A29" s="22" t="s">
        <v>38</v>
      </c>
      <c r="B29" s="34" t="s">
        <v>39</v>
      </c>
      <c r="C29" s="34"/>
      <c r="D29" s="34"/>
      <c r="E29" s="34"/>
    </row>
    <row r="30" spans="1:5" x14ac:dyDescent="0.25">
      <c r="A30" s="22" t="s">
        <v>40</v>
      </c>
      <c r="B30" s="34" t="s">
        <v>41</v>
      </c>
      <c r="C30" s="34"/>
      <c r="D30" s="34"/>
      <c r="E30" s="34"/>
    </row>
    <row r="31" spans="1:5" x14ac:dyDescent="0.25">
      <c r="A31" s="22" t="s">
        <v>42</v>
      </c>
      <c r="B31" s="34" t="s">
        <v>43</v>
      </c>
      <c r="C31" s="34"/>
      <c r="D31" s="34"/>
      <c r="E31" s="34"/>
    </row>
    <row r="32" spans="1:5" x14ac:dyDescent="0.25">
      <c r="A32" s="22" t="s">
        <v>44</v>
      </c>
      <c r="B32" s="34" t="s">
        <v>45</v>
      </c>
      <c r="C32" s="34"/>
      <c r="D32" s="34"/>
      <c r="E32" s="34"/>
    </row>
    <row r="33" spans="1:5" x14ac:dyDescent="0.25">
      <c r="A33" s="22" t="s">
        <v>46</v>
      </c>
      <c r="B33" s="34" t="s">
        <v>47</v>
      </c>
      <c r="C33" s="34"/>
      <c r="D33" s="34"/>
      <c r="E33" s="34"/>
    </row>
    <row r="34" spans="1:5" x14ac:dyDescent="0.25">
      <c r="A34" s="22" t="s">
        <v>48</v>
      </c>
      <c r="B34" s="34" t="s">
        <v>49</v>
      </c>
      <c r="C34" s="34"/>
      <c r="D34" s="34"/>
      <c r="E34" s="34"/>
    </row>
  </sheetData>
  <mergeCells count="16">
    <mergeCell ref="A1:I1"/>
    <mergeCell ref="A2:E2"/>
    <mergeCell ref="G2:I2"/>
    <mergeCell ref="A3:B3"/>
    <mergeCell ref="E3:F3"/>
    <mergeCell ref="G3:H3"/>
    <mergeCell ref="A5:I5"/>
    <mergeCell ref="A14:E14"/>
    <mergeCell ref="A20:I20"/>
    <mergeCell ref="A28:E28"/>
    <mergeCell ref="B29:E29"/>
    <mergeCell ref="B30:E30"/>
    <mergeCell ref="B31:E31"/>
    <mergeCell ref="B32:E32"/>
    <mergeCell ref="B33:E33"/>
    <mergeCell ref="B34:E34"/>
  </mergeCells>
  <conditionalFormatting sqref="G7:G12">
    <cfRule type="containsText" dxfId="0" priority="1">
      <formula>NOT(ISERROR(SEARCH("ERROR",G7)))</formula>
    </cfRule>
  </conditionalFormatting>
  <conditionalFormatting sqref="H7:H12">
    <cfRule type="cellIs" dxfId="1" priority="2" operator="equal">
      <formula>0</formula>
    </cfRule>
  </conditionalFormatting>
  <conditionalFormatting sqref="I7:I11">
    <cfRule type="cellIs" dxfId="2" priority="3" operator="greaterThan">
      <formula>1</formula>
    </cfRule>
    <cfRule type="cellIs" dxfId="3" priority="4" operator="greaterThan">
      <formula>0.8</formula>
    </cfRule>
  </conditionalFormatting>
  <conditionalFormatting sqref="G3:H3">
    <cfRule type="cellIs" dxfId="4" priority="5" operator="lessThanOrEqual">
      <formula>0</formula>
    </cfRule>
  </conditionalFormatting>
  <conditionalFormatting sqref="B17">
    <cfRule type="containsText" dxfId="5" priority="6">
      <formula>NOT(ISERROR(SEARCH("ERROR",B17)))</formula>
    </cfRule>
  </conditionalFormatting>
  <conditionalFormatting sqref="B18">
    <cfRule type="cellIs" dxfId="6" priority="7" operator="equal">
      <formula>0</formula>
    </cfRule>
  </conditionalFormatting>
  <conditionalFormatting sqref="D17:D18">
    <cfRule type="containsText" dxfId="7" priority="8">
      <formula>NOT(ISERROR(SEARCH("EXCEDIDO",D17)))</formula>
    </cfRule>
    <cfRule type="containsText" dxfId="8" priority="9">
      <formula>NOT(ISERROR(SEARCH("SIN DISPONIBLE",D17)))</formula>
    </cfRule>
  </conditionalFormatting>
  <conditionalFormatting sqref="D22:D26">
    <cfRule type="cellIs" dxfId="9" priority="10" operator="equal">
      <formula>0</formula>
    </cfRule>
  </conditionalFormatting>
  <conditionalFormatting sqref="G22:H26">
    <cfRule type="containsText" dxfId="10" priority="11">
      <formula>NOT(ISERROR(SEARCH("EXCEDIDO",G22)))</formula>
    </cfRule>
  </conditionalFormatting>
  <conditionalFormatting sqref="E22:E26">
    <cfRule type="cellIs" dxfId="11" priority="12" operator="greaterThan">
      <formula>1</formula>
    </cfRule>
    <cfRule type="cellIs" dxfId="12" priority="13" operator="greaterThan">
      <formula>0.8</formula>
    </cfRule>
  </conditionalFormatting>
  <dataValidations count="5">
    <dataValidation type="decimal" operator="greaterThanOrEqual" showErrorMessage="1" errorTitle="Valor no válido" error="El sublímite no puede ser negativo." sqref="B10:B11">
      <formula1>0</formula1>
    </dataValidation>
    <dataValidation type="decimal" operator="greaterThanOrEqual" showErrorMessage="1" errorTitle="Valor no válido" error="El sublímite no puede ser negativo." sqref="B7:B11">
      <formula1>0</formula1>
    </dataValidation>
    <dataValidation type="decimal" operator="greaterThanOrEqual" showErrorMessage="1" errorTitle="Valor no válido" error="Las disposiciones no pueden ser negativas." sqref="C10:F11">
      <formula1>0</formula1>
    </dataValidation>
    <dataValidation type="decimal" operator="greaterThan" showErrorMessage="1" errorTitle="Valor no válido" error="El límite global debe ser mayor que 0." sqref="C3">
      <formula1>0</formula1>
    </dataValidation>
    <dataValidation type="decimal" operator="greaterThanOrEqual" showErrorMessage="1" errorTitle="Valor no válido" error="Las disposiciones no pueden ser negativas." sqref="C7:F11">
      <formula1>0</formula1>
    </dataValidation>
  </dataValidation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07D8B"/>
  </sheetPr>
  <dimension ref="A1:B31"/>
  <sheetViews>
    <sheetView workbookViewId="0" showGridLines="0"/>
  </sheetViews>
  <sheetFormatPr defaultRowHeight="15" outlineLevelRow="0" outlineLevelCol="0" x14ac:dyDescent="55"/>
  <cols>
    <col min="1" max="1" width="65" customWidth="1"/>
    <col min="2" max="2" width="40" customWidth="1"/>
  </cols>
  <sheetData>
    <row r="1" spans="1:2" x14ac:dyDescent="0.25">
      <c r="A1" s="35" t="s">
        <v>50</v>
      </c>
      <c r="B1" t="s">
        <v>25</v>
      </c>
    </row>
    <row r="2" spans="1:2" x14ac:dyDescent="0.25">
      <c r="A2" t="s">
        <v>25</v>
      </c>
      <c r="B2" t="s">
        <v>25</v>
      </c>
    </row>
    <row r="3" spans="1:2" x14ac:dyDescent="0.25">
      <c r="A3" t="s">
        <v>51</v>
      </c>
      <c r="B3" t="s">
        <v>25</v>
      </c>
    </row>
    <row r="4" spans="1:2" x14ac:dyDescent="0.25">
      <c r="A4" t="s">
        <v>52</v>
      </c>
      <c r="B4" t="s">
        <v>25</v>
      </c>
    </row>
    <row r="5" spans="1:2" x14ac:dyDescent="0.25">
      <c r="A5" t="s">
        <v>53</v>
      </c>
      <c r="B5" t="s">
        <v>25</v>
      </c>
    </row>
    <row r="6" spans="1:2" x14ac:dyDescent="0.25">
      <c r="A6" t="s">
        <v>25</v>
      </c>
      <c r="B6" t="s">
        <v>25</v>
      </c>
    </row>
    <row r="7" spans="1:2" x14ac:dyDescent="0.25">
      <c r="A7" t="s">
        <v>54</v>
      </c>
      <c r="B7" t="s">
        <v>25</v>
      </c>
    </row>
    <row r="8" spans="1:2" x14ac:dyDescent="0.25">
      <c r="A8" t="s">
        <v>55</v>
      </c>
      <c r="B8" t="s">
        <v>25</v>
      </c>
    </row>
    <row r="9" spans="1:2" x14ac:dyDescent="0.25">
      <c r="A9" t="s">
        <v>56</v>
      </c>
      <c r="B9" t="s">
        <v>25</v>
      </c>
    </row>
    <row r="10" spans="1:2" x14ac:dyDescent="0.25">
      <c r="A10" t="s">
        <v>25</v>
      </c>
      <c r="B10" t="s">
        <v>25</v>
      </c>
    </row>
    <row r="11" spans="1:2" x14ac:dyDescent="0.25">
      <c r="A11" t="s">
        <v>57</v>
      </c>
      <c r="B11" t="s">
        <v>25</v>
      </c>
    </row>
    <row r="12" spans="1:2" x14ac:dyDescent="0.25">
      <c r="A12" t="s">
        <v>58</v>
      </c>
      <c r="B12" t="s">
        <v>25</v>
      </c>
    </row>
    <row r="13" spans="1:2" x14ac:dyDescent="0.25">
      <c r="A13" t="s">
        <v>59</v>
      </c>
      <c r="B13" t="s">
        <v>25</v>
      </c>
    </row>
    <row r="14" spans="1:2" x14ac:dyDescent="0.25">
      <c r="A14" t="s">
        <v>25</v>
      </c>
      <c r="B14" t="s">
        <v>25</v>
      </c>
    </row>
    <row r="15" spans="1:2" x14ac:dyDescent="0.25">
      <c r="A15" t="s">
        <v>60</v>
      </c>
      <c r="B15" t="s">
        <v>25</v>
      </c>
    </row>
    <row r="16" spans="1:2" x14ac:dyDescent="0.25">
      <c r="A16" t="s">
        <v>61</v>
      </c>
      <c r="B16" t="s">
        <v>25</v>
      </c>
    </row>
    <row r="17" spans="1:2" x14ac:dyDescent="0.25">
      <c r="A17" t="s">
        <v>62</v>
      </c>
      <c r="B17" t="s">
        <v>25</v>
      </c>
    </row>
    <row r="18" spans="1:2" x14ac:dyDescent="0.25">
      <c r="A18" t="s">
        <v>63</v>
      </c>
      <c r="B18" t="s">
        <v>25</v>
      </c>
    </row>
    <row r="19" spans="1:2" x14ac:dyDescent="0.25">
      <c r="A19" t="s">
        <v>64</v>
      </c>
      <c r="B19" t="s">
        <v>25</v>
      </c>
    </row>
    <row r="20" spans="1:2" x14ac:dyDescent="0.25">
      <c r="A20" t="s">
        <v>65</v>
      </c>
      <c r="B20" t="s">
        <v>25</v>
      </c>
    </row>
    <row r="21" spans="1:2" x14ac:dyDescent="0.25">
      <c r="A21" t="s">
        <v>25</v>
      </c>
      <c r="B21" t="s">
        <v>25</v>
      </c>
    </row>
    <row r="22" spans="1:2" x14ac:dyDescent="0.25">
      <c r="A22" t="s">
        <v>66</v>
      </c>
      <c r="B22" t="s">
        <v>25</v>
      </c>
    </row>
    <row r="23" spans="1:2" x14ac:dyDescent="0.25">
      <c r="A23" t="s">
        <v>67</v>
      </c>
      <c r="B23" t="s">
        <v>25</v>
      </c>
    </row>
    <row r="24" spans="1:2" x14ac:dyDescent="0.25">
      <c r="A24" t="s">
        <v>68</v>
      </c>
      <c r="B24" t="s">
        <v>25</v>
      </c>
    </row>
    <row r="25" spans="1:2" x14ac:dyDescent="0.25">
      <c r="A25" t="s">
        <v>69</v>
      </c>
      <c r="B25" t="s">
        <v>25</v>
      </c>
    </row>
    <row r="26" spans="1:2" x14ac:dyDescent="0.25">
      <c r="A26" t="s">
        <v>25</v>
      </c>
      <c r="B26" t="s">
        <v>25</v>
      </c>
    </row>
    <row r="27" spans="1:2" x14ac:dyDescent="0.25">
      <c r="A27" t="s">
        <v>70</v>
      </c>
      <c r="B27" t="s">
        <v>25</v>
      </c>
    </row>
    <row r="28" spans="1:2" x14ac:dyDescent="0.25">
      <c r="A28" t="s">
        <v>71</v>
      </c>
      <c r="B28" t="s">
        <v>25</v>
      </c>
    </row>
    <row r="29" spans="1:2" x14ac:dyDescent="0.25">
      <c r="A29" t="s">
        <v>72</v>
      </c>
      <c r="B29" t="s">
        <v>25</v>
      </c>
    </row>
    <row r="30" spans="1:2" x14ac:dyDescent="0.25">
      <c r="A30" t="s">
        <v>73</v>
      </c>
      <c r="B30" t="s">
        <v>25</v>
      </c>
    </row>
    <row r="31" spans="1:2" x14ac:dyDescent="0.25">
      <c r="A31" t="s">
        <v>74</v>
      </c>
      <c r="B31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Simulador PMM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Simulador PMM</dc:creator>
  <dc:title/>
  <dc:subject/>
  <dc:description/>
  <cp:keywords/>
  <cp:category/>
  <cp:lastModifiedBy>Unknown</cp:lastModifiedBy>
  <dcterms:created xsi:type="dcterms:W3CDTF">2026-04-22T16:50:42Z</dcterms:created>
  <dcterms:modified xsi:type="dcterms:W3CDTF">2026-04-22T16:50:42Z</dcterms:modified>
</cp:coreProperties>
</file>