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6E62C7F-DD7C-4362-92EC-27768B3DB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dor PMM" sheetId="1" r:id="rId1"/>
    <sheet name="Instrucciones" sheetId="2" r:id="rId2"/>
  </sheets>
  <definedNames>
    <definedName name="DisponibleGlobal">'Simulador PMM'!$G$3</definedName>
    <definedName name="LimiteGlobal">'Simulador PMM'!$C$3</definedName>
    <definedName name="TotalDispuesto">'Simulador PMM'!$G$12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F26" i="1"/>
  <c r="C26" i="1"/>
  <c r="G26" i="1" s="1"/>
  <c r="B26" i="1"/>
  <c r="E26" i="1" s="1"/>
  <c r="I25" i="1"/>
  <c r="H25" i="1"/>
  <c r="G25" i="1"/>
  <c r="F25" i="1"/>
  <c r="C25" i="1"/>
  <c r="B25" i="1"/>
  <c r="E25" i="1" s="1"/>
  <c r="I24" i="1"/>
  <c r="H24" i="1"/>
  <c r="C24" i="1"/>
  <c r="G24" i="1" s="1"/>
  <c r="B24" i="1"/>
  <c r="E24" i="1" s="1"/>
  <c r="I23" i="1"/>
  <c r="H23" i="1"/>
  <c r="F23" i="1"/>
  <c r="E23" i="1"/>
  <c r="C23" i="1"/>
  <c r="B23" i="1"/>
  <c r="G23" i="1" s="1"/>
  <c r="I22" i="1"/>
  <c r="H22" i="1"/>
  <c r="G22" i="1"/>
  <c r="F22" i="1"/>
  <c r="C22" i="1"/>
  <c r="B22" i="1"/>
  <c r="E22" i="1" s="1"/>
  <c r="B17" i="1"/>
  <c r="B18" i="1" s="1"/>
  <c r="B16" i="1"/>
  <c r="G12" i="1"/>
  <c r="H12" i="1" s="1"/>
  <c r="F12" i="1"/>
  <c r="E12" i="1"/>
  <c r="D12" i="1"/>
  <c r="C12" i="1"/>
  <c r="H11" i="1"/>
  <c r="D26" i="1" s="1"/>
  <c r="G11" i="1"/>
  <c r="I11" i="1" s="1"/>
  <c r="G10" i="1"/>
  <c r="I10" i="1" s="1"/>
  <c r="G9" i="1"/>
  <c r="I9" i="1" s="1"/>
  <c r="G8" i="1"/>
  <c r="H8" i="1" s="1"/>
  <c r="D23" i="1" s="1"/>
  <c r="G7" i="1"/>
  <c r="I7" i="1" s="1"/>
  <c r="G3" i="1"/>
  <c r="I12" i="1" l="1"/>
  <c r="H7" i="1"/>
  <c r="D22" i="1" s="1"/>
  <c r="D18" i="1"/>
  <c r="C18" i="1"/>
  <c r="C17" i="1"/>
  <c r="D17" i="1"/>
  <c r="F24" i="1"/>
  <c r="H10" i="1"/>
  <c r="D25" i="1" s="1"/>
  <c r="I8" i="1"/>
  <c r="H9" i="1"/>
  <c r="D24" i="1" s="1"/>
</calcChain>
</file>

<file path=xl/sharedStrings.xml><?xml version="1.0" encoding="utf-8"?>
<sst xmlns="http://schemas.openxmlformats.org/spreadsheetml/2006/main" count="107" uniqueCount="62">
  <si>
    <t>SIMULADOR PÓLIZA MULTIPRODUCTO MULTIEMPRESA (PMM)</t>
  </si>
  <si>
    <t>Contrato de Afianzamiento — Póliza Paraguas</t>
  </si>
  <si>
    <t>LÍMITE GLOBAL PMM:</t>
  </si>
  <si>
    <t>DISPONIBLE GLOBAL:</t>
  </si>
  <si>
    <t>MATRIZ DE DISPOSICIONES POR EMPRESA Y PRODUCTO</t>
  </si>
  <si>
    <t>Tipo de Producto</t>
  </si>
  <si>
    <t>Sublímite</t>
  </si>
  <si>
    <t>Empresa 1</t>
  </si>
  <si>
    <t>Empresa 2</t>
  </si>
  <si>
    <t>Empresa 3</t>
  </si>
  <si>
    <t>Empresa 4</t>
  </si>
  <si>
    <t>Total Dispuesto</t>
  </si>
  <si>
    <t>Disponible</t>
  </si>
  <si>
    <t>% Utilización</t>
  </si>
  <si>
    <t>Créditos</t>
  </si>
  <si>
    <t>Descuento Comercial</t>
  </si>
  <si>
    <t>Confirming</t>
  </si>
  <si>
    <t>Comex</t>
  </si>
  <si>
    <t>Préstamos</t>
  </si>
  <si>
    <t>TOTAL PMM</t>
  </si>
  <si>
    <t>INDICADORES GLOBALES</t>
  </si>
  <si>
    <t>Indicador</t>
  </si>
  <si>
    <t>Importe</t>
  </si>
  <si>
    <t>% sobre Límite</t>
  </si>
  <si>
    <t>Estado</t>
  </si>
  <si>
    <t/>
  </si>
  <si>
    <t>Límite Global PMM</t>
  </si>
  <si>
    <t>—</t>
  </si>
  <si>
    <t>Disponible Global</t>
  </si>
  <si>
    <t>INDICADORES POR PRODUCTO</t>
  </si>
  <si>
    <t>Producto</t>
  </si>
  <si>
    <t>Dispuesto</t>
  </si>
  <si>
    <t>% Sublímite</t>
  </si>
  <si>
    <t>% Global</t>
  </si>
  <si>
    <t>Estado Sublímite</t>
  </si>
  <si>
    <t>Estado Global</t>
  </si>
  <si>
    <t>Margen Global</t>
  </si>
  <si>
    <t>INSTRUCCIONES DE USO — SIMULADOR PMM</t>
  </si>
  <si>
    <t>1. LÍMITE GLOBAL (celda C3)</t>
  </si>
  <si>
    <t xml:space="preserve">   Modifique el límite global de la póliza paraguas.</t>
  </si>
  <si>
    <t xml:space="preserve">   El disponible global se muestra en G3:H3 y se actualiza automáticamente.</t>
  </si>
  <si>
    <t>2. SUBLÍMITES POR PRODUCTO (columna B, filas 7-11)</t>
  </si>
  <si>
    <t xml:space="preserve">   Modifique los sublímites de cada tipo de producto.</t>
  </si>
  <si>
    <t xml:space="preserve">   Los sublímites pueden superar el límite global (son techos por producto).</t>
  </si>
  <si>
    <t>3. DISPOSICIONES POR EMPRESA (celdas amarillas, C7:F11)</t>
  </si>
  <si>
    <t xml:space="preserve">   Introduzca los importes dispuestos por cada empresa en cada producto.</t>
  </si>
  <si>
    <t xml:space="preserve">   No se permiten valores negativos.</t>
  </si>
  <si>
    <t>4. SISTEMA DE ALERTAS</t>
  </si>
  <si>
    <t xml:space="preserve">   • "ERROR" (rojo): el total dispuesto supera el sublímite del producto</t>
  </si>
  <si>
    <t xml:space="preserve">     O el total global supera el límite PMM.</t>
  </si>
  <si>
    <t xml:space="preserve">   • Disponible = 0 (rojo): no queda margen disponible.</t>
  </si>
  <si>
    <t xml:space="preserve">   • ⚡ ALTO (ámbar): utilización superior al 80%.</t>
  </si>
  <si>
    <t xml:space="preserve">   • ✓ OK (verde): dentro de parámetros.</t>
  </si>
  <si>
    <t>5. REGLA FUNDAMENTAL</t>
  </si>
  <si>
    <t xml:space="preserve">   El límite global NO puede superarse. El disponible por producto</t>
  </si>
  <si>
    <t xml:space="preserve">   se ajusta automáticamente respetando AMBOS techos (sublímite y global).</t>
  </si>
  <si>
    <t xml:space="preserve">   Los valores nunca serán negativos: mínimo 0 o texto ERROR.</t>
  </si>
  <si>
    <t>6. CELDAS EDITABLES</t>
  </si>
  <si>
    <t xml:space="preserve">   • C3: Límite global PMM</t>
  </si>
  <si>
    <t xml:space="preserve">   • B7:B11: Sublímites por producto</t>
  </si>
  <si>
    <t xml:space="preserve">   • C7:F11: Disposiciones por empresa y producto</t>
  </si>
  <si>
    <t xml:space="preserve">   Todas las demás celdas son de cálculo automático.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</si>
</sst>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Fecha simulación: &quot;dd/mm/yyyy"/>
    <numFmt numFmtId="165" formatCode="#,##0\ \€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B2DFDB"/>
      <name val="Calibri"/>
    </font>
    <font>
      <i/>
      <sz val="9"/>
      <color rgb="FF607D8B"/>
      <name val="Calibri"/>
    </font>
    <font>
      <b/>
      <sz val="11"/>
      <color rgb="FF004D40"/>
      <name val="Calibri"/>
    </font>
    <font>
      <b/>
      <sz val="14"/>
      <color rgb="FF00838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4"/>
      <color rgb="FF004D40"/>
      <name val="Calibri"/>
    </font>
    <font>
      <u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838F"/>
      </patternFill>
    </fill>
    <fill>
      <patternFill patternType="solid">
        <fgColor rgb="FFE0F7FA"/>
      </patternFill>
    </fill>
    <fill>
      <patternFill patternType="solid">
        <fgColor rgb="FFC8E6C9"/>
      </patternFill>
    </fill>
    <fill>
      <patternFill patternType="solid">
        <fgColor rgb="FF004D40"/>
      </patternFill>
    </fill>
    <fill>
      <patternFill patternType="solid">
        <fgColor rgb="FFECEFF1"/>
      </patternFill>
    </fill>
    <fill>
      <patternFill patternType="solid">
        <fgColor rgb="FFFFF8E1"/>
      </patternFill>
    </fill>
    <fill>
      <patternFill patternType="solid">
        <fgColor rgb="FFB2DFD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00838F"/>
      </left>
      <right style="medium">
        <color rgb="FF00838F"/>
      </right>
      <top style="medium">
        <color rgb="FF00838F"/>
      </top>
      <bottom style="medium">
        <color rgb="FF00838F"/>
      </bottom>
      <diagonal/>
    </border>
    <border>
      <left style="thin">
        <color rgb="FFB2DFDB"/>
      </left>
      <right style="thin">
        <color rgb="FFB2DFDB"/>
      </right>
      <top style="thin">
        <color rgb="FFB2DFDB"/>
      </top>
      <bottom style="thin">
        <color rgb="FFB2DFDB"/>
      </bottom>
      <diagonal/>
    </border>
  </borders>
  <cellStyleXfs count="1">
    <xf numFmtId="0" fontId="0" fillId="0" borderId="0"/>
  </cellStyleXfs>
  <cellXfs count="36">
    <xf numFmtId="0" fontId="0" fillId="0" borderId="0" xfId="0"/>
    <xf numFmtId="165" fontId="5" fillId="3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165" fontId="8" fillId="3" borderId="2" xfId="0" applyNumberFormat="1" applyFont="1" applyFill="1" applyBorder="1" applyAlignment="1" applyProtection="1">
      <alignment horizontal="center" vertical="center"/>
      <protection locked="0"/>
    </xf>
    <xf numFmtId="165" fontId="9" fillId="7" borderId="2" xfId="0" applyNumberFormat="1" applyFont="1" applyFill="1" applyBorder="1" applyAlignment="1" applyProtection="1">
      <alignment horizontal="center" vertical="center"/>
      <protection locked="0"/>
    </xf>
    <xf numFmtId="165" fontId="8" fillId="8" borderId="2" xfId="0" applyNumberFormat="1" applyFont="1" applyFill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166" fontId="8" fillId="9" borderId="2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65" fontId="8" fillId="0" borderId="2" xfId="0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166" fontId="8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5" fontId="9" fillId="6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5" fontId="9" fillId="9" borderId="2" xfId="0" applyNumberFormat="1" applyFont="1" applyFill="1" applyBorder="1" applyAlignment="1">
      <alignment horizontal="center" vertical="center"/>
    </xf>
    <xf numFmtId="166" fontId="9" fillId="9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0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5" fontId="11" fillId="7" borderId="2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5">
    <dxf>
      <font>
        <b/>
        <color rgb="FFE65100"/>
      </font>
      <fill>
        <patternFill patternType="solid">
          <fgColor rgb="FFFFF3E0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color rgb="FFE65100"/>
      </font>
      <fill>
        <patternFill patternType="solid">
          <fgColor rgb="FFFFF3E0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  <dxf>
      <font>
        <b/>
        <sz val="10"/>
        <color rgb="FFC62828"/>
        <name val="Calibri"/>
      </font>
      <fill>
        <patternFill patternType="solid">
          <f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38F"/>
    <pageSetUpPr fitToPage="1"/>
  </sheetPr>
  <dimension ref="A1:I26"/>
  <sheetViews>
    <sheetView showGridLines="0" tabSelected="1" workbookViewId="0">
      <pane ySplit="6" topLeftCell="A7" activePane="bottomLeft" state="frozen"/>
      <selection pane="bottomLeft" activeCell="F8" sqref="F8"/>
    </sheetView>
  </sheetViews>
  <sheetFormatPr baseColWidth="10" defaultColWidth="8.88671875" defaultRowHeight="14.4" x14ac:dyDescent="0.3"/>
  <cols>
    <col min="1" max="1" width="24" customWidth="1"/>
    <col min="2" max="2" width="20" customWidth="1"/>
    <col min="3" max="6" width="18" customWidth="1"/>
    <col min="7" max="8" width="20" customWidth="1"/>
    <col min="9" max="9" width="14" customWidth="1"/>
  </cols>
  <sheetData>
    <row r="1" spans="1:9" ht="37.950000000000003" customHeight="1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22.05" customHeight="1" x14ac:dyDescent="0.3">
      <c r="A2" s="30" t="s">
        <v>1</v>
      </c>
      <c r="B2" s="30"/>
      <c r="C2" s="30"/>
      <c r="D2" s="30"/>
      <c r="E2" s="30"/>
      <c r="G2" s="31">
        <v>46135.329178981483</v>
      </c>
      <c r="H2" s="31"/>
      <c r="I2" s="31"/>
    </row>
    <row r="3" spans="1:9" ht="31.95" customHeight="1" x14ac:dyDescent="0.3">
      <c r="A3" s="32" t="s">
        <v>2</v>
      </c>
      <c r="B3" s="32"/>
      <c r="C3" s="1">
        <v>8000000</v>
      </c>
      <c r="E3" s="32" t="s">
        <v>3</v>
      </c>
      <c r="F3" s="32"/>
      <c r="G3" s="33">
        <f>MAX(0,$C$3-SUM($C$7:$F$11))</f>
        <v>100000</v>
      </c>
      <c r="H3" s="33"/>
    </row>
    <row r="5" spans="1:9" ht="28.05" customHeight="1" x14ac:dyDescent="0.3">
      <c r="A5" s="34" t="s">
        <v>4</v>
      </c>
      <c r="B5" s="34"/>
      <c r="C5" s="34"/>
      <c r="D5" s="34"/>
      <c r="E5" s="34"/>
      <c r="F5" s="34"/>
      <c r="G5" s="34"/>
      <c r="H5" s="34"/>
      <c r="I5" s="34"/>
    </row>
    <row r="6" spans="1:9" ht="28.05" customHeight="1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9" ht="24" customHeight="1" x14ac:dyDescent="0.3">
      <c r="A7" s="3" t="s">
        <v>14</v>
      </c>
      <c r="B7" s="4">
        <v>2000000</v>
      </c>
      <c r="C7" s="5">
        <v>500000</v>
      </c>
      <c r="D7" s="5">
        <v>300000</v>
      </c>
      <c r="E7" s="5">
        <v>200000</v>
      </c>
      <c r="F7" s="5">
        <v>1100000</v>
      </c>
      <c r="G7" s="6" t="str">
        <f>IF(OR(SUM(C7:F7)&gt;B7,SUM($C$7:$F$11)&gt;$C$3),"ERROR",SUM(C7:F7))</f>
        <v>ERROR</v>
      </c>
      <c r="H7" s="7">
        <f>IF(NOT(ISNUMBER(G7)),0,MAX(0,MIN(B7-SUM(C7:F7),MAX(0,$C$3-SUM($C$7:$F$11)))))</f>
        <v>0</v>
      </c>
      <c r="I7" s="8" t="str">
        <f>IF(NOT(ISNUMBER(G7)),"—",IF(B7=0,0,SUM(C7:F7)/B7))</f>
        <v>—</v>
      </c>
    </row>
    <row r="8" spans="1:9" ht="24" customHeight="1" x14ac:dyDescent="0.3">
      <c r="A8" s="9" t="s">
        <v>15</v>
      </c>
      <c r="B8" s="4">
        <v>8000000</v>
      </c>
      <c r="C8" s="5">
        <v>1000000</v>
      </c>
      <c r="D8" s="5">
        <v>500000</v>
      </c>
      <c r="E8" s="5">
        <v>800000</v>
      </c>
      <c r="F8" s="35">
        <v>700000</v>
      </c>
      <c r="G8" s="6">
        <f>IF(OR(SUM(C8:F8)&gt;B8,SUM($C$7:$F$11)&gt;$C$3),"ERROR",SUM(C8:F8))</f>
        <v>3000000</v>
      </c>
      <c r="H8" s="7">
        <f>IF(NOT(ISNUMBER(G8)),0,MAX(0,MIN(B8-SUM(C8:F8),MAX(0,$C$3-SUM($C$7:$F$11)))))</f>
        <v>100000</v>
      </c>
      <c r="I8" s="10">
        <f>IF(NOT(ISNUMBER(G8)),"—",IF(B8=0,0,SUM(C8:F8)/B8))</f>
        <v>0.375</v>
      </c>
    </row>
    <row r="9" spans="1:9" ht="24" customHeight="1" x14ac:dyDescent="0.3">
      <c r="A9" s="3" t="s">
        <v>16</v>
      </c>
      <c r="B9" s="4">
        <v>8000000</v>
      </c>
      <c r="C9" s="5">
        <v>300000</v>
      </c>
      <c r="D9" s="5">
        <v>200000</v>
      </c>
      <c r="E9" s="5">
        <v>400000</v>
      </c>
      <c r="F9" s="5">
        <v>100000</v>
      </c>
      <c r="G9" s="6">
        <f>IF(OR(SUM(C9:F9)&gt;B9,SUM($C$7:$F$11)&gt;$C$3),"ERROR",SUM(C9:F9))</f>
        <v>1000000</v>
      </c>
      <c r="H9" s="7">
        <f>IF(NOT(ISNUMBER(G9)),0,MAX(0,MIN(B9-SUM(C9:F9),MAX(0,$C$3-SUM($C$7:$F$11)))))</f>
        <v>100000</v>
      </c>
      <c r="I9" s="8">
        <f>IF(NOT(ISNUMBER(G9)),"—",IF(B9=0,0,SUM(C9:F9)/B9))</f>
        <v>0.125</v>
      </c>
    </row>
    <row r="10" spans="1:9" ht="24" customHeight="1" x14ac:dyDescent="0.3">
      <c r="A10" s="9" t="s">
        <v>17</v>
      </c>
      <c r="B10" s="4">
        <v>8000000</v>
      </c>
      <c r="C10" s="5">
        <v>0</v>
      </c>
      <c r="D10" s="5">
        <v>100000</v>
      </c>
      <c r="E10" s="5">
        <v>200000</v>
      </c>
      <c r="F10" s="5">
        <v>0</v>
      </c>
      <c r="G10" s="6">
        <f>IF(OR(SUM(C10:F10)&gt;B10,SUM($C$7:$F$11)&gt;$C$3),"ERROR",SUM(C10:F10))</f>
        <v>300000</v>
      </c>
      <c r="H10" s="7">
        <f>IF(NOT(ISNUMBER(G10)),0,MAX(0,MIN(B10-SUM(C10:F10),MAX(0,$C$3-SUM($C$7:$F$11)))))</f>
        <v>100000</v>
      </c>
      <c r="I10" s="10">
        <f>IF(NOT(ISNUMBER(G10)),"—",IF(B10=0,0,SUM(C10:F10)/B10))</f>
        <v>3.7499999999999999E-2</v>
      </c>
    </row>
    <row r="11" spans="1:9" ht="24" customHeight="1" x14ac:dyDescent="0.3">
      <c r="A11" s="3" t="s">
        <v>18</v>
      </c>
      <c r="B11" s="4">
        <v>4000000</v>
      </c>
      <c r="C11" s="5">
        <v>500000</v>
      </c>
      <c r="D11" s="5">
        <v>300000</v>
      </c>
      <c r="E11" s="5">
        <v>400000</v>
      </c>
      <c r="F11" s="5">
        <v>300000</v>
      </c>
      <c r="G11" s="6">
        <f>IF(OR(SUM(C11:F11)&gt;B11,SUM($C$7:$F$11)&gt;$C$3),"ERROR",SUM(C11:F11))</f>
        <v>1500000</v>
      </c>
      <c r="H11" s="7">
        <f>IF(NOT(ISNUMBER(G11)),0,MAX(0,MIN(B11-SUM(C11:F11),MAX(0,$C$3-SUM($C$7:$F$11)))))</f>
        <v>100000</v>
      </c>
      <c r="I11" s="8">
        <f>IF(NOT(ISNUMBER(G11)),"—",IF(B11=0,0,SUM(C11:F11)/B11))</f>
        <v>0.375</v>
      </c>
    </row>
    <row r="12" spans="1:9" ht="28.05" customHeight="1" x14ac:dyDescent="0.3">
      <c r="A12" s="11" t="s">
        <v>19</v>
      </c>
      <c r="B12" s="11"/>
      <c r="C12" s="12">
        <f>SUM(C7:C11)</f>
        <v>2300000</v>
      </c>
      <c r="D12" s="12">
        <f>SUM(D7:D11)</f>
        <v>1400000</v>
      </c>
      <c r="E12" s="12">
        <f>SUM(E7:E11)</f>
        <v>2000000</v>
      </c>
      <c r="F12" s="12">
        <f>SUM(F7:F11)</f>
        <v>2200000</v>
      </c>
      <c r="G12" s="12">
        <f>IF(SUM($C$7:$F$11)&gt;$C$3,"ERROR",SUM($C$7:$F$11))</f>
        <v>7900000</v>
      </c>
      <c r="H12" s="12">
        <f>IF(NOT(ISNUMBER(G12)),0,MAX(0,$C$3-SUM($C$7:$F$11)))</f>
        <v>100000</v>
      </c>
      <c r="I12" s="13">
        <f>IF(NOT(ISNUMBER(G12)),"—",IF($C$3=0,0,SUM($C$7:$F$11)/$C$3))</f>
        <v>0.98750000000000004</v>
      </c>
    </row>
    <row r="14" spans="1:9" ht="28.05" customHeight="1" x14ac:dyDescent="0.3">
      <c r="A14" s="34" t="s">
        <v>20</v>
      </c>
      <c r="B14" s="34"/>
      <c r="C14" s="34"/>
      <c r="D14" s="34"/>
      <c r="E14" s="34"/>
    </row>
    <row r="15" spans="1:9" x14ac:dyDescent="0.3">
      <c r="A15" s="2" t="s">
        <v>21</v>
      </c>
      <c r="B15" s="2" t="s">
        <v>22</v>
      </c>
      <c r="C15" s="2" t="s">
        <v>23</v>
      </c>
      <c r="D15" s="2" t="s">
        <v>24</v>
      </c>
      <c r="E15" s="2" t="s">
        <v>25</v>
      </c>
    </row>
    <row r="16" spans="1:9" ht="24" customHeight="1" x14ac:dyDescent="0.3">
      <c r="A16" s="3" t="s">
        <v>26</v>
      </c>
      <c r="B16" s="14">
        <f>$C$3</f>
        <v>8000000</v>
      </c>
      <c r="C16" s="8">
        <v>1</v>
      </c>
      <c r="D16" s="15" t="s">
        <v>27</v>
      </c>
    </row>
    <row r="17" spans="1:9" ht="24" customHeight="1" x14ac:dyDescent="0.3">
      <c r="A17" s="16" t="s">
        <v>11</v>
      </c>
      <c r="B17" s="17">
        <f>IF(SUM($C$7:$F$11)&gt;$C$3,"ERROR",SUM($C$7:$F$11))</f>
        <v>7900000</v>
      </c>
      <c r="C17" s="18">
        <f>IF(NOT(ISNUMBER(B17)),"—",IF($C$3=0,0,SUM($C$7:$F$11)/$C$3))</f>
        <v>0.98750000000000004</v>
      </c>
      <c r="D17" s="19" t="str">
        <f>IF(NOT(ISNUMBER(B17)),"⚠ EXCEDIDO","✓ OK")</f>
        <v>✓ OK</v>
      </c>
    </row>
    <row r="18" spans="1:9" ht="24" customHeight="1" x14ac:dyDescent="0.3">
      <c r="A18" s="20" t="s">
        <v>28</v>
      </c>
      <c r="B18" s="7">
        <f>IF(NOT(ISNUMBER(B17)),0,MAX(0,$C$3-SUM($C$7:$F$11)))</f>
        <v>100000</v>
      </c>
      <c r="C18" s="21">
        <f>IF($C$3=0,0,B18/$C$3)</f>
        <v>1.2500000000000001E-2</v>
      </c>
      <c r="D18" s="22" t="str">
        <f>IF(B18=0,"⚠ SIN DISPONIBLE","✓ DISPONIBLE")</f>
        <v>✓ DISPONIBLE</v>
      </c>
    </row>
    <row r="20" spans="1:9" ht="28.05" customHeight="1" x14ac:dyDescent="0.3">
      <c r="A20" s="34" t="s">
        <v>29</v>
      </c>
      <c r="B20" s="34"/>
      <c r="C20" s="34"/>
      <c r="D20" s="34"/>
      <c r="E20" s="34"/>
      <c r="F20" s="34"/>
      <c r="G20" s="34"/>
      <c r="H20" s="34"/>
      <c r="I20" s="34"/>
    </row>
    <row r="21" spans="1:9" x14ac:dyDescent="0.3">
      <c r="A21" s="2" t="s">
        <v>30</v>
      </c>
      <c r="B21" s="2" t="s">
        <v>6</v>
      </c>
      <c r="C21" s="2" t="s">
        <v>31</v>
      </c>
      <c r="D21" s="2" t="s">
        <v>12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36</v>
      </c>
    </row>
    <row r="22" spans="1:9" ht="24" customHeight="1" x14ac:dyDescent="0.3">
      <c r="A22" s="3" t="s">
        <v>14</v>
      </c>
      <c r="B22" s="23">
        <f>B7</f>
        <v>2000000</v>
      </c>
      <c r="C22" s="23">
        <f>SUM(C7:F7)</f>
        <v>2100000</v>
      </c>
      <c r="D22" s="7">
        <f>MAX(0,H7)</f>
        <v>0</v>
      </c>
      <c r="E22" s="24">
        <f>IF(B22=0,0,C22/B22)</f>
        <v>1.05</v>
      </c>
      <c r="F22" s="24">
        <f>IF($C$3=0,0,C22/$C$3)</f>
        <v>0.26250000000000001</v>
      </c>
      <c r="G22" s="15" t="str">
        <f>IF(C22&gt;B22,"⚠ EXCEDIDO",IF(B22=0,"—",IF(C22/B22&gt;0.8,"⚡ ALTO","✓ OK")))</f>
        <v>⚠ EXCEDIDO</v>
      </c>
      <c r="H22" s="15" t="str">
        <f>IF(SUM($C$7:$F$11)&gt;$C$3,"⚠ EXCEDIDO","✓ OK")</f>
        <v>✓ OK</v>
      </c>
      <c r="I22" s="23">
        <f>MAX(0,$C$3-SUM($C$7:$F$11))</f>
        <v>100000</v>
      </c>
    </row>
    <row r="23" spans="1:9" ht="24" customHeight="1" x14ac:dyDescent="0.3">
      <c r="A23" s="9" t="s">
        <v>15</v>
      </c>
      <c r="B23" s="25">
        <f>B8</f>
        <v>8000000</v>
      </c>
      <c r="C23" s="25">
        <f>SUM(C8:F8)</f>
        <v>3000000</v>
      </c>
      <c r="D23" s="7">
        <f>MAX(0,H8)</f>
        <v>100000</v>
      </c>
      <c r="E23" s="26">
        <f>IF(B23=0,0,C23/B23)</f>
        <v>0.375</v>
      </c>
      <c r="F23" s="26">
        <f>IF($C$3=0,0,C23/$C$3)</f>
        <v>0.375</v>
      </c>
      <c r="G23" s="27" t="str">
        <f>IF(C23&gt;B23,"⚠ EXCEDIDO",IF(B23=0,"—",IF(C23/B23&gt;0.8,"⚡ ALTO","✓ OK")))</f>
        <v>✓ OK</v>
      </c>
      <c r="H23" s="27" t="str">
        <f>IF(SUM($C$7:$F$11)&gt;$C$3,"⚠ EXCEDIDO","✓ OK")</f>
        <v>✓ OK</v>
      </c>
      <c r="I23" s="25">
        <f>MAX(0,$C$3-SUM($C$7:$F$11))</f>
        <v>100000</v>
      </c>
    </row>
    <row r="24" spans="1:9" ht="24" customHeight="1" x14ac:dyDescent="0.3">
      <c r="A24" s="3" t="s">
        <v>16</v>
      </c>
      <c r="B24" s="23">
        <f>B9</f>
        <v>8000000</v>
      </c>
      <c r="C24" s="23">
        <f>SUM(C9:F9)</f>
        <v>1000000</v>
      </c>
      <c r="D24" s="7">
        <f>MAX(0,H9)</f>
        <v>100000</v>
      </c>
      <c r="E24" s="24">
        <f>IF(B24=0,0,C24/B24)</f>
        <v>0.125</v>
      </c>
      <c r="F24" s="24">
        <f>IF($C$3=0,0,C24/$C$3)</f>
        <v>0.125</v>
      </c>
      <c r="G24" s="15" t="str">
        <f>IF(C24&gt;B24,"⚠ EXCEDIDO",IF(B24=0,"—",IF(C24/B24&gt;0.8,"⚡ ALTO","✓ OK")))</f>
        <v>✓ OK</v>
      </c>
      <c r="H24" s="15" t="str">
        <f>IF(SUM($C$7:$F$11)&gt;$C$3,"⚠ EXCEDIDO","✓ OK")</f>
        <v>✓ OK</v>
      </c>
      <c r="I24" s="23">
        <f>MAX(0,$C$3-SUM($C$7:$F$11))</f>
        <v>100000</v>
      </c>
    </row>
    <row r="25" spans="1:9" ht="24" customHeight="1" x14ac:dyDescent="0.3">
      <c r="A25" s="9" t="s">
        <v>17</v>
      </c>
      <c r="B25" s="25">
        <f>B10</f>
        <v>8000000</v>
      </c>
      <c r="C25" s="25">
        <f>SUM(C10:F10)</f>
        <v>300000</v>
      </c>
      <c r="D25" s="7">
        <f>MAX(0,H10)</f>
        <v>100000</v>
      </c>
      <c r="E25" s="26">
        <f>IF(B25=0,0,C25/B25)</f>
        <v>3.7499999999999999E-2</v>
      </c>
      <c r="F25" s="26">
        <f>IF($C$3=0,0,C25/$C$3)</f>
        <v>3.7499999999999999E-2</v>
      </c>
      <c r="G25" s="27" t="str">
        <f>IF(C25&gt;B25,"⚠ EXCEDIDO",IF(B25=0,"—",IF(C25/B25&gt;0.8,"⚡ ALTO","✓ OK")))</f>
        <v>✓ OK</v>
      </c>
      <c r="H25" s="27" t="str">
        <f>IF(SUM($C$7:$F$11)&gt;$C$3,"⚠ EXCEDIDO","✓ OK")</f>
        <v>✓ OK</v>
      </c>
      <c r="I25" s="25">
        <f>MAX(0,$C$3-SUM($C$7:$F$11))</f>
        <v>100000</v>
      </c>
    </row>
    <row r="26" spans="1:9" ht="24" customHeight="1" x14ac:dyDescent="0.3">
      <c r="A26" s="3" t="s">
        <v>18</v>
      </c>
      <c r="B26" s="23">
        <f>B11</f>
        <v>4000000</v>
      </c>
      <c r="C26" s="23">
        <f>SUM(C11:F11)</f>
        <v>1500000</v>
      </c>
      <c r="D26" s="7">
        <f>MAX(0,H11)</f>
        <v>100000</v>
      </c>
      <c r="E26" s="24">
        <f>IF(B26=0,0,C26/B26)</f>
        <v>0.375</v>
      </c>
      <c r="F26" s="24">
        <f>IF($C$3=0,0,C26/$C$3)</f>
        <v>0.1875</v>
      </c>
      <c r="G26" s="15" t="str">
        <f>IF(C26&gt;B26,"⚠ EXCEDIDO",IF(B26=0,"—",IF(C26/B26&gt;0.8,"⚡ ALTO","✓ OK")))</f>
        <v>✓ OK</v>
      </c>
      <c r="H26" s="15" t="str">
        <f>IF(SUM($C$7:$F$11)&gt;$C$3,"⚠ EXCEDIDO","✓ OK")</f>
        <v>✓ OK</v>
      </c>
      <c r="I26" s="23">
        <f>MAX(0,$C$3-SUM($C$7:$F$11))</f>
        <v>100000</v>
      </c>
    </row>
  </sheetData>
  <mergeCells count="9">
    <mergeCell ref="A5:I5"/>
    <mergeCell ref="A14:E14"/>
    <mergeCell ref="A20:I20"/>
    <mergeCell ref="A1:I1"/>
    <mergeCell ref="A2:E2"/>
    <mergeCell ref="G2:I2"/>
    <mergeCell ref="A3:B3"/>
    <mergeCell ref="E3:F3"/>
    <mergeCell ref="G3:H3"/>
  </mergeCells>
  <conditionalFormatting sqref="B17">
    <cfRule type="expression" dxfId="14" priority="6">
      <formula>NOT(ISNUMBER(B17))</formula>
    </cfRule>
  </conditionalFormatting>
  <conditionalFormatting sqref="B18">
    <cfRule type="expression" dxfId="13" priority="7">
      <formula>AND(B18=0,NOT(ISNUMBER(B17)))</formula>
    </cfRule>
  </conditionalFormatting>
  <conditionalFormatting sqref="C12:F12">
    <cfRule type="expression" dxfId="12" priority="20">
      <formula>C12&gt;$C$3</formula>
    </cfRule>
  </conditionalFormatting>
  <conditionalFormatting sqref="D17">
    <cfRule type="expression" dxfId="11" priority="8">
      <formula>SUM($C$7:$F$11)&gt;$C$3</formula>
    </cfRule>
  </conditionalFormatting>
  <conditionalFormatting sqref="D18">
    <cfRule type="expression" dxfId="10" priority="9">
      <formula>AND(MAX(0,$C$3-SUM($C$7:$F$11))=0,SUM($C$7:$F$11)&gt;$C$3)</formula>
    </cfRule>
  </conditionalFormatting>
  <conditionalFormatting sqref="D22:D26">
    <cfRule type="expression" dxfId="9" priority="10">
      <formula>AND(D22=0,NOT(ISNUMBER(G7)))</formula>
    </cfRule>
  </conditionalFormatting>
  <conditionalFormatting sqref="E22:E26">
    <cfRule type="expression" dxfId="8" priority="13">
      <formula>AND(ISNUMBER(E22),E22&gt;1)</formula>
    </cfRule>
    <cfRule type="expression" dxfId="7" priority="14">
      <formula>AND(ISNUMBER(E22),E22&gt;0.8)</formula>
    </cfRule>
  </conditionalFormatting>
  <conditionalFormatting sqref="G7:G12">
    <cfRule type="expression" dxfId="6" priority="1">
      <formula>NOT(ISNUMBER(G7))</formula>
    </cfRule>
  </conditionalFormatting>
  <conditionalFormatting sqref="G22:G26">
    <cfRule type="expression" dxfId="5" priority="11">
      <formula>C22&gt;B22</formula>
    </cfRule>
  </conditionalFormatting>
  <conditionalFormatting sqref="G3:H3">
    <cfRule type="expression" dxfId="4" priority="5">
      <formula>AND(ISNUMBER(G3),G3&lt;=0)</formula>
    </cfRule>
  </conditionalFormatting>
  <conditionalFormatting sqref="H7:H12">
    <cfRule type="expression" dxfId="3" priority="2">
      <formula>AND(H7=0,NOT(ISNUMBER(G7)))</formula>
    </cfRule>
  </conditionalFormatting>
  <conditionalFormatting sqref="H22:H26">
    <cfRule type="expression" dxfId="2" priority="12">
      <formula>SUM($C$7:$F$11)&gt;$C$3</formula>
    </cfRule>
  </conditionalFormatting>
  <conditionalFormatting sqref="I7:I11">
    <cfRule type="expression" dxfId="1" priority="3">
      <formula>AND(ISNUMBER(I7),I7&gt;1)</formula>
    </cfRule>
    <cfRule type="expression" dxfId="0" priority="4">
      <formula>AND(ISNUMBER(I7),I7&gt;0.8)</formula>
    </cfRule>
  </conditionalFormatting>
  <dataValidations count="3">
    <dataValidation type="decimal" operator="greaterThanOrEqual" showErrorMessage="1" errorTitle="Valor no válido" error="El sublímite no puede ser negativo." sqref="B7:B11" xr:uid="{00000000-0002-0000-0000-000000000000}">
      <formula1>0</formula1>
    </dataValidation>
    <dataValidation type="decimal" operator="greaterThanOrEqual" showErrorMessage="1" errorTitle="Valor no válido" error="Las disposiciones no pueden ser negativas." sqref="C7:F11" xr:uid="{00000000-0002-0000-0000-000002000000}">
      <formula1>0</formula1>
    </dataValidation>
    <dataValidation type="decimal" operator="greaterThan" showErrorMessage="1" errorTitle="Valor no válido" error="El límite global debe ser mayor que 0." sqref="C3" xr:uid="{00000000-0002-0000-0000-000003000000}">
      <formula1>0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07D8B"/>
  </sheetPr>
  <dimension ref="A1:B31"/>
  <sheetViews>
    <sheetView showGridLines="0" workbookViewId="0"/>
  </sheetViews>
  <sheetFormatPr baseColWidth="10" defaultColWidth="8.88671875" defaultRowHeight="14.4" x14ac:dyDescent="0.3"/>
  <cols>
    <col min="1" max="1" width="65" customWidth="1"/>
    <col min="2" max="2" width="40" customWidth="1"/>
  </cols>
  <sheetData>
    <row r="1" spans="1:2" ht="18" x14ac:dyDescent="0.35">
      <c r="A1" s="28" t="s">
        <v>37</v>
      </c>
      <c r="B1" t="s">
        <v>25</v>
      </c>
    </row>
    <row r="2" spans="1:2" x14ac:dyDescent="0.3">
      <c r="A2" t="s">
        <v>25</v>
      </c>
      <c r="B2" t="s">
        <v>25</v>
      </c>
    </row>
    <row r="3" spans="1:2" x14ac:dyDescent="0.3">
      <c r="A3" t="s">
        <v>38</v>
      </c>
      <c r="B3" t="s">
        <v>25</v>
      </c>
    </row>
    <row r="4" spans="1:2" x14ac:dyDescent="0.3">
      <c r="A4" t="s">
        <v>39</v>
      </c>
      <c r="B4" t="s">
        <v>25</v>
      </c>
    </row>
    <row r="5" spans="1:2" x14ac:dyDescent="0.3">
      <c r="A5" t="s">
        <v>40</v>
      </c>
      <c r="B5" t="s">
        <v>25</v>
      </c>
    </row>
    <row r="6" spans="1:2" x14ac:dyDescent="0.3">
      <c r="A6" t="s">
        <v>25</v>
      </c>
      <c r="B6" t="s">
        <v>25</v>
      </c>
    </row>
    <row r="7" spans="1:2" x14ac:dyDescent="0.3">
      <c r="A7" t="s">
        <v>41</v>
      </c>
      <c r="B7" t="s">
        <v>25</v>
      </c>
    </row>
    <row r="8" spans="1:2" x14ac:dyDescent="0.3">
      <c r="A8" t="s">
        <v>42</v>
      </c>
      <c r="B8" t="s">
        <v>25</v>
      </c>
    </row>
    <row r="9" spans="1:2" x14ac:dyDescent="0.3">
      <c r="A9" t="s">
        <v>43</v>
      </c>
      <c r="B9" t="s">
        <v>25</v>
      </c>
    </row>
    <row r="10" spans="1:2" x14ac:dyDescent="0.3">
      <c r="A10" t="s">
        <v>25</v>
      </c>
      <c r="B10" t="s">
        <v>25</v>
      </c>
    </row>
    <row r="11" spans="1:2" x14ac:dyDescent="0.3">
      <c r="A11" t="s">
        <v>44</v>
      </c>
      <c r="B11" t="s">
        <v>25</v>
      </c>
    </row>
    <row r="12" spans="1:2" x14ac:dyDescent="0.3">
      <c r="A12" t="s">
        <v>45</v>
      </c>
      <c r="B12" t="s">
        <v>25</v>
      </c>
    </row>
    <row r="13" spans="1:2" x14ac:dyDescent="0.3">
      <c r="A13" t="s">
        <v>46</v>
      </c>
      <c r="B13" t="s">
        <v>25</v>
      </c>
    </row>
    <row r="14" spans="1:2" x14ac:dyDescent="0.3">
      <c r="A14" t="s">
        <v>25</v>
      </c>
      <c r="B14" t="s">
        <v>25</v>
      </c>
    </row>
    <row r="15" spans="1:2" x14ac:dyDescent="0.3">
      <c r="A15" t="s">
        <v>47</v>
      </c>
      <c r="B15" t="s">
        <v>25</v>
      </c>
    </row>
    <row r="16" spans="1:2" x14ac:dyDescent="0.3">
      <c r="A16" t="s">
        <v>48</v>
      </c>
      <c r="B16" t="s">
        <v>25</v>
      </c>
    </row>
    <row r="17" spans="1:2" x14ac:dyDescent="0.3">
      <c r="A17" t="s">
        <v>49</v>
      </c>
      <c r="B17" t="s">
        <v>25</v>
      </c>
    </row>
    <row r="18" spans="1:2" x14ac:dyDescent="0.3">
      <c r="A18" t="s">
        <v>50</v>
      </c>
      <c r="B18" t="s">
        <v>25</v>
      </c>
    </row>
    <row r="19" spans="1:2" x14ac:dyDescent="0.3">
      <c r="A19" t="s">
        <v>51</v>
      </c>
      <c r="B19" t="s">
        <v>25</v>
      </c>
    </row>
    <row r="20" spans="1:2" x14ac:dyDescent="0.3">
      <c r="A20" t="s">
        <v>52</v>
      </c>
      <c r="B20" t="s">
        <v>25</v>
      </c>
    </row>
    <row r="21" spans="1:2" x14ac:dyDescent="0.3">
      <c r="A21" t="s">
        <v>25</v>
      </c>
      <c r="B21" t="s">
        <v>25</v>
      </c>
    </row>
    <row r="22" spans="1:2" x14ac:dyDescent="0.3">
      <c r="A22" t="s">
        <v>53</v>
      </c>
      <c r="B22" t="s">
        <v>25</v>
      </c>
    </row>
    <row r="23" spans="1:2" x14ac:dyDescent="0.3">
      <c r="A23" t="s">
        <v>54</v>
      </c>
      <c r="B23" t="s">
        <v>25</v>
      </c>
    </row>
    <row r="24" spans="1:2" x14ac:dyDescent="0.3">
      <c r="A24" t="s">
        <v>55</v>
      </c>
      <c r="B24" t="s">
        <v>25</v>
      </c>
    </row>
    <row r="25" spans="1:2" x14ac:dyDescent="0.3">
      <c r="A25" t="s">
        <v>56</v>
      </c>
      <c r="B25" t="s">
        <v>25</v>
      </c>
    </row>
    <row r="26" spans="1:2" x14ac:dyDescent="0.3">
      <c r="A26" t="s">
        <v>25</v>
      </c>
      <c r="B26" t="s">
        <v>25</v>
      </c>
    </row>
    <row r="27" spans="1:2" x14ac:dyDescent="0.3">
      <c r="A27" t="s">
        <v>57</v>
      </c>
      <c r="B27" t="s">
        <v>25</v>
      </c>
    </row>
    <row r="28" spans="1:2" x14ac:dyDescent="0.3">
      <c r="A28" t="s">
        <v>58</v>
      </c>
      <c r="B28" t="s">
        <v>25</v>
      </c>
    </row>
    <row r="29" spans="1:2" x14ac:dyDescent="0.3">
      <c r="A29" t="s">
        <v>59</v>
      </c>
      <c r="B29" t="s">
        <v>25</v>
      </c>
    </row>
    <row r="30" spans="1:2" x14ac:dyDescent="0.3">
      <c r="A30" t="s">
        <v>60</v>
      </c>
      <c r="B30" t="s">
        <v>25</v>
      </c>
    </row>
    <row r="31" spans="1:2" x14ac:dyDescent="0.3">
      <c r="A31" t="s">
        <v>61</v>
      </c>
      <c r="B31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Simulador PMM</vt:lpstr>
      <vt:lpstr>Instrucciones</vt:lpstr>
      <vt:lpstr>DisponibleGlobal</vt:lpstr>
      <vt:lpstr>LimiteGlobal</vt:lpstr>
      <vt:lpstr>TotalDispuesto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2026-04-23T07:54:01Z</dcterms:created>
  <dcterms:modified xsi:type="dcterms:W3CDTF">2026-04-23T07:54:46Z</dcterms:modified>
  <cp:category/>
</cp:coreProperties>
</file>